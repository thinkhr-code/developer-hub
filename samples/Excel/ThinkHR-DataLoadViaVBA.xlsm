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showInkAnnotation="0" codeName="ThinkHRWorkbook" autoCompressPictures="0" defaultThemeVersion="124226"/>
  <mc:AlternateContent xmlns:mc="http://schemas.openxmlformats.org/markup-compatibility/2006">
    <mc:Choice Requires="x15">
      <x15ac:absPath xmlns:x15ac="http://schemas.microsoft.com/office/spreadsheetml/2010/11/ac" url="C:\OneDrive\Projects\GitHub\ThinkHR\developer-hub\samples\Excel\"/>
    </mc:Choice>
  </mc:AlternateContent>
  <xr:revisionPtr revIDLastSave="0" documentId="13_ncr:1_{2C2CCE96-FD3B-4DC8-94EF-A002FB544FEF}" xr6:coauthVersionLast="36" xr6:coauthVersionMax="36" xr10:uidLastSave="{00000000-0000-0000-0000-000000000000}"/>
  <bookViews>
    <workbookView xWindow="0" yWindow="0" windowWidth="19269" windowHeight="8434" firstSheet="1" activeTab="1" xr2:uid="{00000000-000D-0000-FFFF-FFFF00000000}"/>
  </bookViews>
  <sheets>
    <sheet name="Settings" sheetId="3" state="veryHidden" r:id="rId1"/>
    <sheet name="Start" sheetId="1" r:id="rId2"/>
    <sheet name="Stats" sheetId="12" r:id="rId3"/>
    <sheet name="Configurations" sheetId="6" r:id="rId4"/>
    <sheet name="Companies" sheetId="4" r:id="rId5"/>
    <sheet name="Users" sheetId="5" r:id="rId6"/>
    <sheet name="Issues" sheetId="11" r:id="rId7"/>
    <sheet name="MatchMe" sheetId="7" r:id="rId8"/>
    <sheet name="Original Configurations" sheetId="8" state="veryHidden" r:id="rId9"/>
    <sheet name="Original Companies" sheetId="9" state="veryHidden" r:id="rId10"/>
    <sheet name="Original Users" sheetId="10" state="veryHidden" r:id="rId11"/>
  </sheets>
  <functionGroups builtInGroupCount="19"/>
  <definedNames>
    <definedName name="_xlnm._FilterDatabase" localSheetId="4" hidden="1">Companies!$A$1:$U$11</definedName>
    <definedName name="_xlnm._FilterDatabase" localSheetId="3" hidden="1">Configurations!$A$1:$AJ$10</definedName>
    <definedName name="_xlnm._FilterDatabase" localSheetId="6" hidden="1">Issues!$A$1:$O$1</definedName>
    <definedName name="_xlnm._FilterDatabase" localSheetId="7" hidden="1">MatchMe!$A$1:$L$6582</definedName>
    <definedName name="_xlnm._FilterDatabase" localSheetId="5" hidden="1">Users!$A$1:$P$78</definedName>
    <definedName name="Boolean">Settings!$D$2:$D$3</definedName>
    <definedName name="Companies">Companies!$A:$U</definedName>
    <definedName name="Issues">Issues!$A:$O</definedName>
    <definedName name="SKUs">Settings!$G$2:$H$29</definedName>
    <definedName name="Users">Users!$A:$P</definedName>
  </definedNames>
  <calcPr calcId="179021"/>
  <pivotCaches>
    <pivotCache cacheId="0" r:id="rId12"/>
    <pivotCache cacheId="1" r:id="rId13"/>
    <pivotCache cacheId="2" r:id="rId14"/>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77" i="10" l="1"/>
  <c r="P72" i="10"/>
  <c r="P71" i="10"/>
  <c r="P69" i="10"/>
  <c r="P68" i="10"/>
  <c r="P67" i="10"/>
  <c r="P66" i="10"/>
  <c r="P65" i="10"/>
  <c r="P64" i="10"/>
  <c r="P25" i="10"/>
  <c r="P24" i="10"/>
  <c r="P22" i="10"/>
  <c r="P21" i="10"/>
  <c r="P19" i="10"/>
  <c r="P13" i="10"/>
  <c r="P11" i="10"/>
  <c r="P10" i="10"/>
  <c r="P9" i="10"/>
  <c r="P8" i="10"/>
  <c r="P7" i="10"/>
  <c r="P5" i="10"/>
  <c r="P4" i="10"/>
  <c r="P3" i="10"/>
  <c r="P2" i="10"/>
  <c r="U11" i="9"/>
  <c r="U10" i="9"/>
  <c r="U9" i="9"/>
  <c r="U7" i="9"/>
  <c r="U5" i="9"/>
  <c r="U4" i="9"/>
  <c r="U3" i="9"/>
  <c r="U2"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49F20E07-5125-4F6A-A072-D9ADBAC918B7}">
      <text>
        <r>
          <rPr>
            <b/>
            <sz val="9"/>
            <color rgb="FF000000"/>
            <rFont val="Tahoma"/>
            <family val="2"/>
          </rPr>
          <t>configurationId</t>
        </r>
      </text>
    </comment>
    <comment ref="B1" authorId="0" shapeId="0" xr:uid="{327C9F46-B069-44BD-9C8E-8CC6CEE2F3DC}">
      <text>
        <r>
          <rPr>
            <b/>
            <sz val="9"/>
            <color rgb="FF000000"/>
            <rFont val="Tahoma"/>
            <family val="2"/>
          </rPr>
          <t>companyId</t>
        </r>
      </text>
    </comment>
    <comment ref="C1" authorId="0" shapeId="0" xr:uid="{CC0AA4C3-4B5C-47F1-899A-96EEBBD2D56C}">
      <text>
        <r>
          <rPr>
            <b/>
            <sz val="9"/>
            <color indexed="81"/>
            <rFont val="Tahoma"/>
            <family val="2"/>
          </rPr>
          <t>companyName</t>
        </r>
      </text>
    </comment>
    <comment ref="D1" authorId="0" shapeId="0" xr:uid="{2809F1A9-C674-46E7-913A-BB526F3193AD}">
      <text>
        <r>
          <rPr>
            <b/>
            <sz val="9"/>
            <color indexed="81"/>
            <rFont val="Tahoma"/>
            <family val="2"/>
          </rPr>
          <t>configurationKey</t>
        </r>
      </text>
    </comment>
    <comment ref="E1" authorId="0" shapeId="0" xr:uid="{92563360-44D3-426B-9216-C445E83E3809}">
      <text>
        <r>
          <rPr>
            <b/>
            <sz val="9"/>
            <color indexed="81"/>
            <rFont val="Tahoma"/>
            <family val="2"/>
          </rPr>
          <t>configurationName</t>
        </r>
      </text>
    </comment>
    <comment ref="F1" authorId="0" shapeId="0" xr:uid="{B35C1354-03B2-4EDD-93C6-5D34FAFE814B}">
      <text>
        <r>
          <rPr>
            <b/>
            <sz val="9"/>
            <color rgb="FF000000"/>
            <rFont val="Tahoma"/>
            <family val="2"/>
          </rPr>
          <t>description</t>
        </r>
      </text>
    </comment>
    <comment ref="G1" authorId="0" shapeId="0" xr:uid="{9645E4E9-24F2-4680-AE4B-8762C7386FBE}">
      <text>
        <r>
          <rPr>
            <b/>
            <sz val="9"/>
            <color indexed="81"/>
            <rFont val="Tahoma"/>
            <family val="2"/>
          </rPr>
          <t>isActive</t>
        </r>
      </text>
    </comment>
    <comment ref="H1" authorId="0" shapeId="0" xr:uid="{337FEFFC-7389-44AB-B9B1-99FCE2A0D683}">
      <text>
        <r>
          <rPr>
            <b/>
            <sz val="9"/>
            <color rgb="FF000000"/>
            <rFont val="Tahoma"/>
            <family val="2"/>
          </rPr>
          <t>masterConfiguration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43AD2A1C-12AA-41A0-AD5A-79307F159BE1}">
      <text>
        <r>
          <rPr>
            <b/>
            <sz val="9"/>
            <color rgb="FF000000"/>
            <rFont val="Tahoma"/>
            <family val="2"/>
          </rPr>
          <t>companyId</t>
        </r>
      </text>
    </comment>
    <comment ref="B1" authorId="0" shapeId="0" xr:uid="{062E78D9-65B3-4517-9716-F79D6919D188}">
      <text>
        <r>
          <rPr>
            <b/>
            <sz val="9"/>
            <color rgb="FF000000"/>
            <rFont val="Tahoma"/>
            <family val="2"/>
          </rPr>
          <t>companyName</t>
        </r>
      </text>
    </comment>
    <comment ref="C1" authorId="0" shapeId="0" xr:uid="{0B7D51F8-BED6-466B-A8C3-09891F280184}">
      <text>
        <r>
          <rPr>
            <b/>
            <sz val="9"/>
            <color indexed="81"/>
            <rFont val="Tahoma"/>
            <family val="2"/>
          </rPr>
          <t>displayName</t>
        </r>
      </text>
    </comment>
    <comment ref="D1" authorId="0" shapeId="0" xr:uid="{EE0245F3-F5A6-426C-9AC9-5F931FE7DD56}">
      <text>
        <r>
          <rPr>
            <b/>
            <sz val="9"/>
            <color indexed="81"/>
            <rFont val="Tahoma"/>
            <family val="2"/>
          </rPr>
          <t>companyPhone</t>
        </r>
      </text>
    </comment>
    <comment ref="E1" authorId="0" shapeId="0" xr:uid="{FE5115C5-1097-4279-A7A2-212097DED9DA}">
      <text>
        <r>
          <rPr>
            <b/>
            <sz val="9"/>
            <color rgb="FF000000"/>
            <rFont val="Tahoma"/>
            <family val="2"/>
          </rPr>
          <t>location.address</t>
        </r>
      </text>
    </comment>
    <comment ref="F1" authorId="0" shapeId="0" xr:uid="{41BE8E24-94AC-4381-ADBF-801F5148B0BA}">
      <text>
        <r>
          <rPr>
            <b/>
            <sz val="9"/>
            <color indexed="81"/>
            <rFont val="Tahoma"/>
            <family val="2"/>
          </rPr>
          <t>location.address2</t>
        </r>
      </text>
    </comment>
    <comment ref="G1" authorId="0" shapeId="0" xr:uid="{25CD3736-78A8-4816-A27A-A3EC7F711CF2}">
      <text>
        <r>
          <rPr>
            <b/>
            <sz val="9"/>
            <color indexed="81"/>
            <rFont val="Tahoma"/>
            <family val="2"/>
          </rPr>
          <t>location.city</t>
        </r>
      </text>
    </comment>
    <comment ref="H1" authorId="0" shapeId="0" xr:uid="{ABE06A15-7115-45AD-BFF6-0D63EBFD58B7}">
      <text>
        <r>
          <rPr>
            <b/>
            <sz val="9"/>
            <color rgb="FF000000"/>
            <rFont val="Tahoma"/>
            <family val="2"/>
          </rPr>
          <t>location.state</t>
        </r>
      </text>
    </comment>
    <comment ref="I1" authorId="0" shapeId="0" xr:uid="{8794672E-AA80-4AE3-8477-348B5F4265D8}">
      <text>
        <r>
          <rPr>
            <b/>
            <sz val="9"/>
            <color rgb="FF000000"/>
            <rFont val="Tahoma"/>
            <family val="2"/>
          </rPr>
          <t>location.zip</t>
        </r>
      </text>
    </comment>
    <comment ref="J1" authorId="0" shapeId="0" xr:uid="{781B9052-2874-4122-819D-5C52863B1710}">
      <text>
        <r>
          <rPr>
            <b/>
            <sz val="9"/>
            <color indexed="81"/>
            <rFont val="Tahoma"/>
            <family val="2"/>
          </rPr>
          <t>industry</t>
        </r>
      </text>
    </comment>
    <comment ref="K1" authorId="0" shapeId="0" xr:uid="{B66BF78E-470B-4C6F-910A-FCF2AC23881C}">
      <text>
        <r>
          <rPr>
            <b/>
            <sz val="9"/>
            <color rgb="FF000000"/>
            <rFont val="Tahoma"/>
            <family val="2"/>
          </rPr>
          <t>companySize</t>
        </r>
      </text>
    </comment>
    <comment ref="L1" authorId="0" shapeId="0" xr:uid="{AD1D5261-B52C-43BA-8F0B-B65C97BF8675}">
      <text>
        <r>
          <rPr>
            <b/>
            <sz val="9"/>
            <color indexed="81"/>
            <rFont val="Tahoma"/>
            <family val="2"/>
          </rPr>
          <t>producer</t>
        </r>
      </text>
    </comment>
    <comment ref="M1" authorId="0" shapeId="0" xr:uid="{0700B861-5EE6-4E54-8B17-4184A4EBEA8C}">
      <text>
        <r>
          <rPr>
            <b/>
            <sz val="9"/>
            <color rgb="FF000000"/>
            <rFont val="Tahoma"/>
            <family val="2"/>
          </rPr>
          <t>configurationName</t>
        </r>
      </text>
    </comment>
    <comment ref="N1" authorId="0" shapeId="0" xr:uid="{1BF9910F-5DBE-4ACA-9CCE-D1205C706C9C}">
      <text>
        <r>
          <rPr>
            <b/>
            <sz val="9"/>
            <color rgb="FF000000"/>
            <rFont val="Tahoma"/>
            <family val="2"/>
          </rPr>
          <t>custom1</t>
        </r>
      </text>
    </comment>
    <comment ref="O1" authorId="0" shapeId="0" xr:uid="{1A35662B-4757-4406-BB80-3E6712D85B6E}">
      <text>
        <r>
          <rPr>
            <b/>
            <sz val="9"/>
            <color indexed="81"/>
            <rFont val="Tahoma"/>
            <family val="2"/>
          </rPr>
          <t>custom2</t>
        </r>
      </text>
    </comment>
    <comment ref="P1" authorId="0" shapeId="0" xr:uid="{B1E67C06-A6EB-4122-8F3D-0318E44F46C7}">
      <text>
        <r>
          <rPr>
            <b/>
            <sz val="9"/>
            <color indexed="81"/>
            <rFont val="Tahoma"/>
            <family val="2"/>
          </rPr>
          <t>custom3</t>
        </r>
      </text>
    </comment>
    <comment ref="Q1" authorId="0" shapeId="0" xr:uid="{D57DE0B9-6F58-491D-AB0F-7EA461508DB4}">
      <text>
        <r>
          <rPr>
            <b/>
            <sz val="9"/>
            <color indexed="81"/>
            <rFont val="Tahoma"/>
            <family val="2"/>
          </rPr>
          <t>custom4</t>
        </r>
      </text>
    </comment>
    <comment ref="R1" authorId="0" shapeId="0" xr:uid="{325F6864-025B-4D80-869D-ED8E14E14040}">
      <text>
        <r>
          <rPr>
            <b/>
            <sz val="9"/>
            <color indexed="81"/>
            <rFont val="Tahoma"/>
            <family val="2"/>
          </rPr>
          <t>custom5</t>
        </r>
      </text>
    </comment>
    <comment ref="S1" authorId="0" shapeId="0" xr:uid="{E9BA1C4E-CBC4-4084-9AFB-2C3571A58F1C}">
      <text>
        <r>
          <rPr>
            <b/>
            <sz val="9"/>
            <color rgb="FF000000"/>
            <rFont val="Tahoma"/>
            <family val="2"/>
          </rPr>
          <t>isActive</t>
        </r>
      </text>
    </comment>
    <comment ref="T1" authorId="0" shapeId="0" xr:uid="{27DC3A2F-E5D0-43F9-BDFB-076BDCAB855B}">
      <text>
        <r>
          <rPr>
            <b/>
            <sz val="9"/>
            <color indexed="81"/>
            <rFont val="Tahoma"/>
            <family val="2"/>
          </rPr>
          <t>companySince</t>
        </r>
      </text>
    </comment>
    <comment ref="U1" authorId="0" shapeId="0" xr:uid="{780A6CFB-647E-4EDF-8963-6847D29E4167}">
      <text>
        <r>
          <rPr>
            <b/>
            <sz val="9"/>
            <color indexed="81"/>
            <rFont val="Tahoma"/>
            <family val="2"/>
          </rPr>
          <t>lastUpdated,=(lastUpdated/86400)+Date(1970,1,1)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7585D2C0-03B8-4CB2-8274-6E6165C172C4}">
      <text>
        <r>
          <rPr>
            <b/>
            <sz val="9"/>
            <color rgb="FF000000"/>
            <rFont val="Tahoma"/>
            <family val="2"/>
          </rPr>
          <t>userId</t>
        </r>
      </text>
    </comment>
    <comment ref="B1" authorId="0" shapeId="0" xr:uid="{09B2FC07-5D27-4E87-A6B2-661706B5E8B8}">
      <text>
        <r>
          <rPr>
            <b/>
            <sz val="9"/>
            <color rgb="FF000000"/>
            <rFont val="Tahoma"/>
            <family val="2"/>
          </rPr>
          <t>firstName</t>
        </r>
      </text>
    </comment>
    <comment ref="C1" authorId="0" shapeId="0" xr:uid="{2B0646A8-3E28-40C2-B5A6-A3FDCFFE157E}">
      <text>
        <r>
          <rPr>
            <b/>
            <sz val="9"/>
            <color rgb="FF000000"/>
            <rFont val="Tahoma"/>
            <family val="2"/>
          </rPr>
          <t>lastName</t>
        </r>
      </text>
    </comment>
    <comment ref="D1" authorId="0" shapeId="0" xr:uid="{52D59D00-EA73-4F46-A51F-AF857CFA50F9}">
      <text>
        <r>
          <rPr>
            <b/>
            <sz val="9"/>
            <color indexed="81"/>
            <rFont val="Tahoma"/>
            <family val="2"/>
          </rPr>
          <t>companyName</t>
        </r>
      </text>
    </comment>
    <comment ref="E1" authorId="0" shapeId="0" xr:uid="{399D889C-9DD8-4BD3-B6BC-A7B2F741C185}">
      <text>
        <r>
          <rPr>
            <b/>
            <sz val="9"/>
            <color rgb="FF000000"/>
            <rFont val="Tahoma"/>
            <family val="2"/>
          </rPr>
          <t>email</t>
        </r>
      </text>
    </comment>
    <comment ref="F1" authorId="0" shapeId="0" xr:uid="{A8B303C5-1608-45A4-9A72-AF5E0327C555}">
      <text>
        <r>
          <rPr>
            <b/>
            <sz val="9"/>
            <color rgb="FF000000"/>
            <rFont val="Tahoma"/>
            <family val="2"/>
          </rPr>
          <t>userName</t>
        </r>
      </text>
    </comment>
    <comment ref="G1" authorId="0" shapeId="0" xr:uid="{7564B385-1F7E-4291-B917-55557D4B94A0}">
      <text>
        <r>
          <rPr>
            <b/>
            <sz val="9"/>
            <color rgb="FF000000"/>
            <rFont val="Tahoma"/>
            <family val="2"/>
          </rPr>
          <t>jobTitle</t>
        </r>
      </text>
    </comment>
    <comment ref="H1" authorId="0" shapeId="0" xr:uid="{6B8DA538-87E8-4FA3-9740-EF20496A1C06}">
      <text>
        <r>
          <rPr>
            <b/>
            <sz val="9"/>
            <color indexed="81"/>
            <rFont val="Tahoma"/>
            <family val="2"/>
          </rPr>
          <t>phone</t>
        </r>
      </text>
    </comment>
    <comment ref="I1" authorId="0" shapeId="0" xr:uid="{BFD99DA8-966A-4D50-8108-F621CC0C751C}">
      <text>
        <r>
          <rPr>
            <b/>
            <sz val="9"/>
            <color rgb="FF000000"/>
            <rFont val="Tahoma"/>
            <family val="2"/>
          </rPr>
          <t>department</t>
        </r>
      </text>
    </comment>
    <comment ref="J1" authorId="0" shapeId="0" xr:uid="{39BE387A-4827-4BF8-AFC2-6B3F4A3A87D2}">
      <text>
        <r>
          <rPr>
            <b/>
            <sz val="9"/>
            <color indexed="81"/>
            <rFont val="Tahoma"/>
            <family val="2"/>
          </rPr>
          <t>role</t>
        </r>
      </text>
    </comment>
    <comment ref="K1" authorId="0" shapeId="0" xr:uid="{435A9F10-5C84-4A42-8F9B-575E96CA8B76}">
      <text>
        <r>
          <rPr>
            <b/>
            <sz val="9"/>
            <color indexed="81"/>
            <rFont val="Tahoma"/>
            <family val="2"/>
          </rPr>
          <t>customField1</t>
        </r>
      </text>
    </comment>
    <comment ref="L1" authorId="0" shapeId="0" xr:uid="{0EF3B064-2178-45C1-A094-68E7EBBA5E52}">
      <text>
        <r>
          <rPr>
            <b/>
            <sz val="9"/>
            <color rgb="FF000000"/>
            <rFont val="Tahoma"/>
            <family val="2"/>
          </rPr>
          <t>customField2</t>
        </r>
      </text>
    </comment>
    <comment ref="M1" authorId="0" shapeId="0" xr:uid="{335F92C0-D3B1-4619-8AB5-0DF902AC71E0}">
      <text>
        <r>
          <rPr>
            <b/>
            <sz val="9"/>
            <color indexed="81"/>
            <rFont val="Tahoma"/>
            <family val="2"/>
          </rPr>
          <t>customField3</t>
        </r>
      </text>
    </comment>
    <comment ref="N1" authorId="0" shapeId="0" xr:uid="{66804BD2-1A0E-4639-B337-5B595A95B636}">
      <text>
        <r>
          <rPr>
            <b/>
            <sz val="9"/>
            <color indexed="81"/>
            <rFont val="Tahoma"/>
            <family val="2"/>
          </rPr>
          <t>customField4</t>
        </r>
      </text>
    </comment>
    <comment ref="O1" authorId="0" shapeId="0" xr:uid="{71396B89-102F-4681-9D61-61529269F9DF}">
      <text>
        <r>
          <rPr>
            <b/>
            <sz val="9"/>
            <color rgb="FF000000"/>
            <rFont val="Tahoma"/>
            <family val="2"/>
          </rPr>
          <t>isActive</t>
        </r>
      </text>
    </comment>
    <comment ref="P1" authorId="0" shapeId="0" xr:uid="{351CDD49-816E-4181-87DD-E1B349847604}">
      <text>
        <r>
          <rPr>
            <b/>
            <sz val="9"/>
            <color indexed="81"/>
            <rFont val="Tahoma"/>
            <family val="2"/>
          </rPr>
          <t>lastUpdated,=(lastUpdated/86400)+Date(1970,1,1)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EFDAB6A4-4DDB-425D-B9B1-3B26D43B9C70}">
      <text>
        <r>
          <rPr>
            <b/>
            <sz val="9"/>
            <color indexed="81"/>
            <rFont val="Tahoma"/>
            <family val="2"/>
          </rPr>
          <t>issueId</t>
        </r>
      </text>
    </comment>
    <comment ref="B1" authorId="0" shapeId="0" xr:uid="{BDC223D8-3D44-4A34-92ED-4DC06C807AE3}">
      <text>
        <r>
          <rPr>
            <b/>
            <sz val="9"/>
            <color indexed="81"/>
            <rFont val="Tahoma"/>
            <family val="2"/>
          </rPr>
          <t>creatorId</t>
        </r>
      </text>
    </comment>
    <comment ref="C1" authorId="0" shapeId="0" xr:uid="{3AEB36C2-7276-4E95-8199-356098284FAE}">
      <text>
        <r>
          <rPr>
            <b/>
            <sz val="9"/>
            <color indexed="81"/>
            <rFont val="Tahoma"/>
            <family val="2"/>
          </rPr>
          <t>=IFERROR(VLOOKUP(B1,Users,2),"")</t>
        </r>
      </text>
    </comment>
    <comment ref="D1" authorId="0" shapeId="0" xr:uid="{29DE93BB-8557-4290-913D-2DE0D106036A}">
      <text>
        <r>
          <rPr>
            <b/>
            <sz val="9"/>
            <color indexed="81"/>
            <rFont val="Tahoma"/>
            <family val="2"/>
          </rPr>
          <t>=IFERROR(VLOOKUP(B1,Users,3),"")</t>
        </r>
      </text>
    </comment>
    <comment ref="E1" authorId="0" shapeId="0" xr:uid="{4C11F0F0-08B7-4464-BC95-308D9907EE74}">
      <text>
        <r>
          <rPr>
            <b/>
            <sz val="9"/>
            <color indexed="81"/>
            <rFont val="Tahoma"/>
            <family val="2"/>
          </rPr>
          <t>=IFERROR(VLOOKUP(B1,Users,5),"")</t>
        </r>
      </text>
    </comment>
    <comment ref="F1" authorId="0" shapeId="0" xr:uid="{BECEC667-0A8E-4C24-9DDB-C052AA0C405B}">
      <text>
        <r>
          <rPr>
            <b/>
            <sz val="9"/>
            <color indexed="81"/>
            <rFont val="Tahoma"/>
            <family val="2"/>
          </rPr>
          <t>=IFERROR(VLOOKUP(B1,Users,4),"")</t>
        </r>
      </text>
    </comment>
    <comment ref="G1" authorId="0" shapeId="0" xr:uid="{9B67EF23-B22F-424B-836C-32973E2A3CEC}">
      <text>
        <r>
          <rPr>
            <b/>
            <sz val="9"/>
            <color indexed="81"/>
            <rFont val="Tahoma"/>
            <family val="2"/>
          </rPr>
          <t>userId</t>
        </r>
      </text>
    </comment>
    <comment ref="H1" authorId="0" shapeId="0" xr:uid="{64899C39-7B3B-4FAC-BCE3-52332E26F836}">
      <text>
        <r>
          <rPr>
            <b/>
            <sz val="9"/>
            <color indexed="81"/>
            <rFont val="Tahoma"/>
            <family val="2"/>
          </rPr>
          <t>=IFERROR(VLOOKUP(G1,Users,2),"")</t>
        </r>
      </text>
    </comment>
    <comment ref="I1" authorId="0" shapeId="0" xr:uid="{AF89E86E-09AF-49C2-B7CE-0A1A4D877E0F}">
      <text>
        <r>
          <rPr>
            <b/>
            <sz val="9"/>
            <color indexed="81"/>
            <rFont val="Tahoma"/>
            <family val="2"/>
          </rPr>
          <t>=IFERROR(VLOOKUP(G1,Users,3),"")</t>
        </r>
      </text>
    </comment>
    <comment ref="J1" authorId="0" shapeId="0" xr:uid="{DF2563A5-B3A3-420C-9A05-860BBEF100F9}">
      <text>
        <r>
          <rPr>
            <b/>
            <sz val="9"/>
            <color indexed="81"/>
            <rFont val="Tahoma"/>
            <family val="2"/>
          </rPr>
          <t>=IFERROR(VLOOKUP(G1,Users,5),"")</t>
        </r>
      </text>
    </comment>
    <comment ref="K1" authorId="0" shapeId="0" xr:uid="{C52E65F8-D2F7-42F7-8DFE-42999DBD031A}">
      <text>
        <r>
          <rPr>
            <b/>
            <sz val="9"/>
            <color indexed="81"/>
            <rFont val="Tahoma"/>
            <family val="2"/>
          </rPr>
          <t>=IFERROR(VLOOKUP(G1,Users,4),"")</t>
        </r>
      </text>
    </comment>
    <comment ref="L1" authorId="0" shapeId="0" xr:uid="{D9BEFBB1-3ACE-4EA1-9745-0CFE435319DE}">
      <text>
        <r>
          <rPr>
            <b/>
            <sz val="9"/>
            <color indexed="81"/>
            <rFont val="Tahoma"/>
            <family val="2"/>
          </rPr>
          <t>category</t>
        </r>
      </text>
    </comment>
    <comment ref="M1" authorId="0" shapeId="0" xr:uid="{67AC116E-A1D0-4074-9567-177FB25F0E2D}">
      <text>
        <r>
          <rPr>
            <b/>
            <sz val="9"/>
            <color indexed="81"/>
            <rFont val="Tahoma"/>
            <family val="2"/>
          </rPr>
          <t>status</t>
        </r>
      </text>
    </comment>
    <comment ref="N1" authorId="0" shapeId="0" xr:uid="{4B93813F-1DC6-4630-88EE-081878190A13}">
      <text>
        <r>
          <rPr>
            <b/>
            <sz val="9"/>
            <color indexed="81"/>
            <rFont val="Tahoma"/>
            <family val="2"/>
          </rPr>
          <t>created</t>
        </r>
      </text>
    </comment>
    <comment ref="O1" authorId="0" shapeId="0" xr:uid="{1E196D1E-CC25-4059-A27F-E5488F417CE0}">
      <text>
        <r>
          <rPr>
            <b/>
            <sz val="9"/>
            <color indexed="81"/>
            <rFont val="Tahoma"/>
            <family val="2"/>
          </rPr>
          <t>responses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007EBA33-ACB4-4918-8164-191B00745FE6}">
      <text>
        <r>
          <rPr>
            <b/>
            <sz val="9"/>
            <color indexed="81"/>
            <rFont val="Tahoma"/>
            <family val="2"/>
          </rPr>
          <t>Customer : Name</t>
        </r>
      </text>
    </comment>
    <comment ref="B1" authorId="0" shapeId="0" xr:uid="{84A07BD5-A490-4654-BDA8-9C6ABC1CAF22}">
      <text>
        <r>
          <rPr>
            <b/>
            <sz val="9"/>
            <color indexed="81"/>
            <rFont val="Tahoma"/>
            <family val="2"/>
          </rPr>
          <t>Customer : Custom 1</t>
        </r>
      </text>
    </comment>
    <comment ref="C1" authorId="0" shapeId="0" xr:uid="{13FB884D-DC16-49E2-86E5-F82B09A484AA}">
      <text>
        <r>
          <rPr>
            <b/>
            <sz val="9"/>
            <color indexed="81"/>
            <rFont val="Tahoma"/>
            <family val="2"/>
          </rPr>
          <t>Customer : Custom 2</t>
        </r>
      </text>
    </comment>
    <comment ref="D1" authorId="0" shapeId="0" xr:uid="{8E98715C-46AD-4731-A36E-AA1062C705EA}">
      <text>
        <r>
          <rPr>
            <b/>
            <sz val="9"/>
            <color indexed="81"/>
            <rFont val="Tahoma"/>
            <family val="2"/>
          </rPr>
          <t>Customer : Custom 3</t>
        </r>
      </text>
    </comment>
    <comment ref="E1" authorId="0" shapeId="0" xr:uid="{E0978B93-5890-4393-8874-F2378029721B}">
      <text>
        <r>
          <rPr>
            <b/>
            <sz val="9"/>
            <color indexed="81"/>
            <rFont val="Tahoma"/>
            <family val="2"/>
          </rPr>
          <t>Customer : Custom 4</t>
        </r>
      </text>
    </comment>
    <comment ref="F1" authorId="0" shapeId="0" xr:uid="{09A9D4A0-E595-45CA-97BE-1957A63CDC54}">
      <text>
        <r>
          <rPr>
            <b/>
            <sz val="9"/>
            <color indexed="81"/>
            <rFont val="Tahoma"/>
            <family val="2"/>
          </rPr>
          <t>Customer : Custom 5</t>
        </r>
      </text>
    </comment>
    <comment ref="G1" authorId="0" shapeId="0" xr:uid="{3A73261B-F6E1-4988-8144-BE3B3F12840C}">
      <text>
        <r>
          <rPr>
            <b/>
            <sz val="9"/>
            <color indexed="81"/>
            <rFont val="Tahoma"/>
            <family val="2"/>
          </rPr>
          <t>User : User Name</t>
        </r>
      </text>
    </comment>
    <comment ref="H1" authorId="0" shapeId="0" xr:uid="{8758FC5B-68A6-4F1E-A2ED-04772E711D40}">
      <text>
        <r>
          <rPr>
            <b/>
            <sz val="9"/>
            <color indexed="81"/>
            <rFont val="Tahoma"/>
            <family val="2"/>
          </rPr>
          <t xml:space="preserve">User : Email </t>
        </r>
      </text>
    </comment>
    <comment ref="I1" authorId="0" shapeId="0" xr:uid="{FB415D0F-58DC-4168-8F3B-D5DECCF2C4E4}">
      <text>
        <r>
          <rPr>
            <b/>
            <sz val="9"/>
            <color indexed="81"/>
            <rFont val="Tahoma"/>
            <family val="2"/>
          </rPr>
          <t>User : Custom 1</t>
        </r>
      </text>
    </comment>
    <comment ref="J1" authorId="0" shapeId="0" xr:uid="{55E414D1-F007-4C8A-B47F-8F932DF69CA9}">
      <text>
        <r>
          <rPr>
            <b/>
            <sz val="9"/>
            <color indexed="81"/>
            <rFont val="Tahoma"/>
            <family val="2"/>
          </rPr>
          <t>User : Custom 2</t>
        </r>
      </text>
    </comment>
    <comment ref="K1" authorId="0" shapeId="0" xr:uid="{CA592750-D422-474D-828C-F3B344A10B05}">
      <text>
        <r>
          <rPr>
            <b/>
            <sz val="9"/>
            <color indexed="81"/>
            <rFont val="Tahoma"/>
            <family val="2"/>
          </rPr>
          <t>User : Custom 3</t>
        </r>
      </text>
    </comment>
    <comment ref="L1" authorId="0" shapeId="0" xr:uid="{0A444CA3-65DB-41AA-988A-22D1C751AB06}">
      <text>
        <r>
          <rPr>
            <b/>
            <sz val="9"/>
            <color indexed="81"/>
            <rFont val="Tahoma"/>
            <family val="2"/>
          </rPr>
          <t>User : Custom 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9B2B66E5-83B2-4CE5-AA0D-EB80B26BE020}">
      <text>
        <r>
          <rPr>
            <b/>
            <sz val="9"/>
            <color rgb="FF000000"/>
            <rFont val="Tahoma"/>
            <family val="2"/>
          </rPr>
          <t>configurationId</t>
        </r>
      </text>
    </comment>
    <comment ref="B1" authorId="0" shapeId="0" xr:uid="{E175C0D6-9983-4D6D-A7BF-A88FE1EBC2E6}">
      <text>
        <r>
          <rPr>
            <b/>
            <sz val="9"/>
            <color rgb="FF000000"/>
            <rFont val="Tahoma"/>
            <family val="2"/>
          </rPr>
          <t>companyId</t>
        </r>
      </text>
    </comment>
    <comment ref="C1" authorId="0" shapeId="0" xr:uid="{7FB849CD-69F5-427C-A8C9-84E15F44C875}">
      <text>
        <r>
          <rPr>
            <b/>
            <sz val="9"/>
            <color indexed="81"/>
            <rFont val="Tahoma"/>
            <family val="2"/>
          </rPr>
          <t>companyName</t>
        </r>
      </text>
    </comment>
    <comment ref="D1" authorId="0" shapeId="0" xr:uid="{A9BF606F-AA67-46CC-9E28-451EF2859A57}">
      <text>
        <r>
          <rPr>
            <b/>
            <sz val="9"/>
            <color indexed="81"/>
            <rFont val="Tahoma"/>
            <family val="2"/>
          </rPr>
          <t>configurationKey</t>
        </r>
      </text>
    </comment>
    <comment ref="E1" authorId="0" shapeId="0" xr:uid="{BED380F3-689C-48AC-A5AF-C40278797E9F}">
      <text>
        <r>
          <rPr>
            <b/>
            <sz val="9"/>
            <color indexed="81"/>
            <rFont val="Tahoma"/>
            <family val="2"/>
          </rPr>
          <t>configurationName</t>
        </r>
      </text>
    </comment>
    <comment ref="F1" authorId="0" shapeId="0" xr:uid="{876D62B3-C567-429B-B469-FE57BCE55C6B}">
      <text>
        <r>
          <rPr>
            <b/>
            <sz val="9"/>
            <color rgb="FF000000"/>
            <rFont val="Tahoma"/>
            <family val="2"/>
          </rPr>
          <t>description</t>
        </r>
      </text>
    </comment>
    <comment ref="G1" authorId="0" shapeId="0" xr:uid="{6CE20B86-AAAD-4E64-9395-211A9213B585}">
      <text>
        <r>
          <rPr>
            <b/>
            <sz val="9"/>
            <color indexed="81"/>
            <rFont val="Tahoma"/>
            <family val="2"/>
          </rPr>
          <t>isActive</t>
        </r>
      </text>
    </comment>
    <comment ref="H1" authorId="0" shapeId="0" xr:uid="{7AF54783-F946-4A16-861B-E7E68521CAB0}">
      <text>
        <r>
          <rPr>
            <b/>
            <sz val="9"/>
            <color rgb="FF000000"/>
            <rFont val="Tahoma"/>
            <family val="2"/>
          </rPr>
          <t>masterConfiguration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0AA0083A-88EC-4ADD-B458-D8E47531C5D0}">
      <text>
        <r>
          <rPr>
            <b/>
            <sz val="9"/>
            <color rgb="FF000000"/>
            <rFont val="Tahoma"/>
            <family val="2"/>
          </rPr>
          <t>companyId</t>
        </r>
      </text>
    </comment>
    <comment ref="B1" authorId="0" shapeId="0" xr:uid="{E5B33537-9092-4922-B511-FD35A77802F0}">
      <text>
        <r>
          <rPr>
            <b/>
            <sz val="9"/>
            <color rgb="FF000000"/>
            <rFont val="Tahoma"/>
            <family val="2"/>
          </rPr>
          <t>companyName</t>
        </r>
      </text>
    </comment>
    <comment ref="C1" authorId="0" shapeId="0" xr:uid="{A534E624-B947-4795-84D5-EF54E0073824}">
      <text>
        <r>
          <rPr>
            <b/>
            <sz val="9"/>
            <color indexed="81"/>
            <rFont val="Tahoma"/>
            <family val="2"/>
          </rPr>
          <t>displayName</t>
        </r>
      </text>
    </comment>
    <comment ref="D1" authorId="0" shapeId="0" xr:uid="{0C212901-7A4B-4266-8E1B-ABF9A30D0864}">
      <text>
        <r>
          <rPr>
            <b/>
            <sz val="9"/>
            <color indexed="81"/>
            <rFont val="Tahoma"/>
            <family val="2"/>
          </rPr>
          <t>companyPhone</t>
        </r>
      </text>
    </comment>
    <comment ref="E1" authorId="0" shapeId="0" xr:uid="{556BF123-D308-480A-882F-B7BCE8447812}">
      <text>
        <r>
          <rPr>
            <b/>
            <sz val="9"/>
            <color rgb="FF000000"/>
            <rFont val="Tahoma"/>
            <family val="2"/>
          </rPr>
          <t>location.address</t>
        </r>
      </text>
    </comment>
    <comment ref="F1" authorId="0" shapeId="0" xr:uid="{BB15ADA2-1137-43EB-90C6-5B81EC3B5D5D}">
      <text>
        <r>
          <rPr>
            <b/>
            <sz val="9"/>
            <color indexed="81"/>
            <rFont val="Tahoma"/>
            <family val="2"/>
          </rPr>
          <t>location.address2</t>
        </r>
      </text>
    </comment>
    <comment ref="G1" authorId="0" shapeId="0" xr:uid="{D7EC8BD7-0D47-47F7-9A65-532016AAF759}">
      <text>
        <r>
          <rPr>
            <b/>
            <sz val="9"/>
            <color indexed="81"/>
            <rFont val="Tahoma"/>
            <family val="2"/>
          </rPr>
          <t>location.city</t>
        </r>
      </text>
    </comment>
    <comment ref="H1" authorId="0" shapeId="0" xr:uid="{68BE5291-B495-4FB6-80BF-6C80F1749C0A}">
      <text>
        <r>
          <rPr>
            <b/>
            <sz val="9"/>
            <color rgb="FF000000"/>
            <rFont val="Tahoma"/>
            <family val="2"/>
          </rPr>
          <t>location.state</t>
        </r>
      </text>
    </comment>
    <comment ref="I1" authorId="0" shapeId="0" xr:uid="{D4D2C569-F9B0-4895-93A8-02463EC1CEAE}">
      <text>
        <r>
          <rPr>
            <b/>
            <sz val="9"/>
            <color rgb="FF000000"/>
            <rFont val="Tahoma"/>
            <family val="2"/>
          </rPr>
          <t>location.zip</t>
        </r>
      </text>
    </comment>
    <comment ref="J1" authorId="0" shapeId="0" xr:uid="{E1B7FF16-B490-41AE-ABFC-DF2A751CEE5B}">
      <text>
        <r>
          <rPr>
            <b/>
            <sz val="9"/>
            <color indexed="81"/>
            <rFont val="Tahoma"/>
            <family val="2"/>
          </rPr>
          <t>industry</t>
        </r>
      </text>
    </comment>
    <comment ref="K1" authorId="0" shapeId="0" xr:uid="{38E0B207-EB63-4964-B4C5-3B745871CB43}">
      <text>
        <r>
          <rPr>
            <b/>
            <sz val="9"/>
            <color rgb="FF000000"/>
            <rFont val="Tahoma"/>
            <family val="2"/>
          </rPr>
          <t>companySize</t>
        </r>
      </text>
    </comment>
    <comment ref="L1" authorId="0" shapeId="0" xr:uid="{19E8F77F-B406-40AA-B5A6-5F9C3F8D649B}">
      <text>
        <r>
          <rPr>
            <b/>
            <sz val="9"/>
            <color indexed="81"/>
            <rFont val="Tahoma"/>
            <family val="2"/>
          </rPr>
          <t>producer</t>
        </r>
      </text>
    </comment>
    <comment ref="M1" authorId="0" shapeId="0" xr:uid="{A63448BB-4A93-4D00-84BB-8098DE3BE3F6}">
      <text>
        <r>
          <rPr>
            <b/>
            <sz val="9"/>
            <color rgb="FF000000"/>
            <rFont val="Tahoma"/>
            <family val="2"/>
          </rPr>
          <t>configurationName</t>
        </r>
      </text>
    </comment>
    <comment ref="N1" authorId="0" shapeId="0" xr:uid="{A3B373E6-CD4E-4E00-8A31-A50603B60437}">
      <text>
        <r>
          <rPr>
            <b/>
            <sz val="9"/>
            <color rgb="FF000000"/>
            <rFont val="Tahoma"/>
            <family val="2"/>
          </rPr>
          <t>custom1</t>
        </r>
      </text>
    </comment>
    <comment ref="O1" authorId="0" shapeId="0" xr:uid="{06C77F32-2FC1-45C4-B33E-3449275294A4}">
      <text>
        <r>
          <rPr>
            <b/>
            <sz val="9"/>
            <color indexed="81"/>
            <rFont val="Tahoma"/>
            <family val="2"/>
          </rPr>
          <t>custom2</t>
        </r>
      </text>
    </comment>
    <comment ref="P1" authorId="0" shapeId="0" xr:uid="{B0E384C4-E2A7-4F30-BA87-FFC3A7944AD0}">
      <text>
        <r>
          <rPr>
            <b/>
            <sz val="9"/>
            <color indexed="81"/>
            <rFont val="Tahoma"/>
            <family val="2"/>
          </rPr>
          <t>custom3</t>
        </r>
      </text>
    </comment>
    <comment ref="Q1" authorId="0" shapeId="0" xr:uid="{D1150CD1-C0A4-49CC-9972-D3C281A75725}">
      <text>
        <r>
          <rPr>
            <b/>
            <sz val="9"/>
            <color indexed="81"/>
            <rFont val="Tahoma"/>
            <family val="2"/>
          </rPr>
          <t>custom4</t>
        </r>
      </text>
    </comment>
    <comment ref="R1" authorId="0" shapeId="0" xr:uid="{9F03A467-8812-497F-A3EE-2100EAE763A3}">
      <text>
        <r>
          <rPr>
            <b/>
            <sz val="9"/>
            <color indexed="81"/>
            <rFont val="Tahoma"/>
            <family val="2"/>
          </rPr>
          <t>custom5</t>
        </r>
      </text>
    </comment>
    <comment ref="S1" authorId="0" shapeId="0" xr:uid="{44A05B8F-91F5-475E-9630-6D192CB02EC4}">
      <text>
        <r>
          <rPr>
            <b/>
            <sz val="9"/>
            <color rgb="FF000000"/>
            <rFont val="Tahoma"/>
            <family val="2"/>
          </rPr>
          <t>isActive</t>
        </r>
      </text>
    </comment>
    <comment ref="T1" authorId="0" shapeId="0" xr:uid="{3A157F4C-F033-4444-A90B-6627E1B82421}">
      <text>
        <r>
          <rPr>
            <b/>
            <sz val="9"/>
            <color indexed="81"/>
            <rFont val="Tahoma"/>
            <family val="2"/>
          </rPr>
          <t>companySince</t>
        </r>
      </text>
    </comment>
    <comment ref="U1" authorId="0" shapeId="0" xr:uid="{902AC6E9-D8FB-45DA-82DB-73436D2CF386}">
      <text>
        <r>
          <rPr>
            <b/>
            <sz val="9"/>
            <color indexed="81"/>
            <rFont val="Tahoma"/>
            <family val="2"/>
          </rPr>
          <t>lastUpdated,=(lastUpdated/86400)+Date(1970,1,1)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Robin R. Smith-Gilbert</author>
  </authors>
  <commentList>
    <comment ref="A1" authorId="0" shapeId="0" xr:uid="{8E35D359-1D75-4601-BFF6-26D805360126}">
      <text>
        <r>
          <rPr>
            <b/>
            <sz val="9"/>
            <color rgb="FF000000"/>
            <rFont val="Tahoma"/>
            <family val="2"/>
          </rPr>
          <t>userId</t>
        </r>
      </text>
    </comment>
    <comment ref="B1" authorId="0" shapeId="0" xr:uid="{5A3AC874-2BA4-4A89-B346-97008BAD0194}">
      <text>
        <r>
          <rPr>
            <b/>
            <sz val="9"/>
            <color rgb="FF000000"/>
            <rFont val="Tahoma"/>
            <family val="2"/>
          </rPr>
          <t>firstName</t>
        </r>
      </text>
    </comment>
    <comment ref="C1" authorId="0" shapeId="0" xr:uid="{220402FF-8A83-4593-91F9-1BD106CEF9A1}">
      <text>
        <r>
          <rPr>
            <b/>
            <sz val="9"/>
            <color rgb="FF000000"/>
            <rFont val="Tahoma"/>
            <family val="2"/>
          </rPr>
          <t>lastName</t>
        </r>
      </text>
    </comment>
    <comment ref="D1" authorId="0" shapeId="0" xr:uid="{A53FCE2A-B6A1-4FCE-BCC6-EEAA305EDA10}">
      <text>
        <r>
          <rPr>
            <b/>
            <sz val="9"/>
            <color indexed="81"/>
            <rFont val="Tahoma"/>
            <family val="2"/>
          </rPr>
          <t>companyName</t>
        </r>
      </text>
    </comment>
    <comment ref="E1" authorId="0" shapeId="0" xr:uid="{09683A55-17CB-40F3-BFC7-05EEFF5F3055}">
      <text>
        <r>
          <rPr>
            <b/>
            <sz val="9"/>
            <color rgb="FF000000"/>
            <rFont val="Tahoma"/>
            <family val="2"/>
          </rPr>
          <t>email</t>
        </r>
      </text>
    </comment>
    <comment ref="F1" authorId="0" shapeId="0" xr:uid="{124B3DDB-520A-427D-A2E8-704264B5366A}">
      <text>
        <r>
          <rPr>
            <b/>
            <sz val="9"/>
            <color rgb="FF000000"/>
            <rFont val="Tahoma"/>
            <family val="2"/>
          </rPr>
          <t>userName</t>
        </r>
      </text>
    </comment>
    <comment ref="G1" authorId="0" shapeId="0" xr:uid="{96500034-25BE-4BD7-AF8F-064E2D63A21D}">
      <text>
        <r>
          <rPr>
            <b/>
            <sz val="9"/>
            <color rgb="FF000000"/>
            <rFont val="Tahoma"/>
            <family val="2"/>
          </rPr>
          <t>jobTitle</t>
        </r>
      </text>
    </comment>
    <comment ref="H1" authorId="0" shapeId="0" xr:uid="{03D53609-5CBA-4C31-8BEA-821CAF92CFB0}">
      <text>
        <r>
          <rPr>
            <b/>
            <sz val="9"/>
            <color indexed="81"/>
            <rFont val="Tahoma"/>
            <family val="2"/>
          </rPr>
          <t>phone</t>
        </r>
      </text>
    </comment>
    <comment ref="I1" authorId="0" shapeId="0" xr:uid="{E0BF6B6C-C8DA-47E1-B9F1-85544B3D80B4}">
      <text>
        <r>
          <rPr>
            <b/>
            <sz val="9"/>
            <color rgb="FF000000"/>
            <rFont val="Tahoma"/>
            <family val="2"/>
          </rPr>
          <t>department</t>
        </r>
      </text>
    </comment>
    <comment ref="J1" authorId="0" shapeId="0" xr:uid="{B590772D-6A6A-4B59-A1A8-3EE81FE51D04}">
      <text>
        <r>
          <rPr>
            <b/>
            <sz val="9"/>
            <color indexed="81"/>
            <rFont val="Tahoma"/>
            <family val="2"/>
          </rPr>
          <t>role</t>
        </r>
      </text>
    </comment>
    <comment ref="K1" authorId="0" shapeId="0" xr:uid="{7CC79272-7DEF-4559-B966-58F4A90B7319}">
      <text>
        <r>
          <rPr>
            <b/>
            <sz val="9"/>
            <color indexed="81"/>
            <rFont val="Tahoma"/>
            <family val="2"/>
          </rPr>
          <t>customField1</t>
        </r>
      </text>
    </comment>
    <comment ref="L1" authorId="0" shapeId="0" xr:uid="{CBED68C3-B307-475B-A189-09CDF4DFB336}">
      <text>
        <r>
          <rPr>
            <b/>
            <sz val="9"/>
            <color rgb="FF000000"/>
            <rFont val="Tahoma"/>
            <family val="2"/>
          </rPr>
          <t>customField2</t>
        </r>
      </text>
    </comment>
    <comment ref="M1" authorId="0" shapeId="0" xr:uid="{6F20D7E9-B16F-463D-9F39-FE4261691A97}">
      <text>
        <r>
          <rPr>
            <b/>
            <sz val="9"/>
            <color indexed="81"/>
            <rFont val="Tahoma"/>
            <family val="2"/>
          </rPr>
          <t>customField3</t>
        </r>
      </text>
    </comment>
    <comment ref="N1" authorId="0" shapeId="0" xr:uid="{719C1F92-93EB-41AC-B59F-A1C29118C745}">
      <text>
        <r>
          <rPr>
            <b/>
            <sz val="9"/>
            <color indexed="81"/>
            <rFont val="Tahoma"/>
            <family val="2"/>
          </rPr>
          <t>customField4</t>
        </r>
      </text>
    </comment>
    <comment ref="O1" authorId="0" shapeId="0" xr:uid="{A5303D09-8896-4607-987E-73C6833AE2CD}">
      <text>
        <r>
          <rPr>
            <b/>
            <sz val="9"/>
            <color rgb="FF000000"/>
            <rFont val="Tahoma"/>
            <family val="2"/>
          </rPr>
          <t>isActive</t>
        </r>
      </text>
    </comment>
    <comment ref="P1" authorId="0" shapeId="0" xr:uid="{64E3F7A2-1481-443C-80A8-CA20C32651D5}">
      <text>
        <r>
          <rPr>
            <b/>
            <sz val="9"/>
            <color indexed="81"/>
            <rFont val="Tahoma"/>
            <family val="2"/>
          </rPr>
          <t>lastUpdated,=(lastUpdated/86400)+Date(1970,1,1)</t>
        </r>
      </text>
    </comment>
  </commentList>
</comments>
</file>

<file path=xl/sharedStrings.xml><?xml version="1.0" encoding="utf-8"?>
<sst xmlns="http://schemas.openxmlformats.org/spreadsheetml/2006/main" count="1639" uniqueCount="519">
  <si>
    <t>Settings</t>
  </si>
  <si>
    <t>API URL</t>
  </si>
  <si>
    <t>Username</t>
  </si>
  <si>
    <t>Password</t>
  </si>
  <si>
    <t>Default Role</t>
  </si>
  <si>
    <t>This sheet should stay hidden because of the credentials</t>
  </si>
  <si>
    <t>Value</t>
  </si>
  <si>
    <t>Think HR</t>
  </si>
  <si>
    <t>Client ID</t>
  </si>
  <si>
    <t>Client Secret</t>
  </si>
  <si>
    <t>Custom 1</t>
  </si>
  <si>
    <t>Custom 2</t>
  </si>
  <si>
    <t>Custom 3</t>
  </si>
  <si>
    <t>Custom 4</t>
  </si>
  <si>
    <t>Id</t>
  </si>
  <si>
    <t>Name</t>
  </si>
  <si>
    <t>Display Name</t>
  </si>
  <si>
    <t>Phone</t>
  </si>
  <si>
    <t>Address</t>
  </si>
  <si>
    <t>Address 2</t>
  </si>
  <si>
    <t>City</t>
  </si>
  <si>
    <t>State</t>
  </si>
  <si>
    <t>Zip</t>
  </si>
  <si>
    <t>Industry</t>
  </si>
  <si>
    <t>Company Size</t>
  </si>
  <si>
    <t>Producer</t>
  </si>
  <si>
    <t>First Name</t>
  </si>
  <si>
    <t>Company Name</t>
  </si>
  <si>
    <t>Email</t>
  </si>
  <si>
    <t>Department</t>
  </si>
  <si>
    <t>Job Title</t>
  </si>
  <si>
    <t>Role</t>
  </si>
  <si>
    <t>Key</t>
  </si>
  <si>
    <t>Description</t>
  </si>
  <si>
    <t>Active</t>
  </si>
  <si>
    <t>Master</t>
  </si>
  <si>
    <t>Include Inactive</t>
  </si>
  <si>
    <t>Max Records per Request</t>
  </si>
  <si>
    <t>BrokerId</t>
  </si>
  <si>
    <t>Configuration</t>
  </si>
  <si>
    <t>LastName</t>
  </si>
  <si>
    <t>Company</t>
  </si>
  <si>
    <t>User Name</t>
  </si>
  <si>
    <t>Company Id</t>
  </si>
  <si>
    <t>Boolean</t>
  </si>
  <si>
    <t>True</t>
  </si>
  <si>
    <t>False</t>
  </si>
  <si>
    <t>Broker</t>
  </si>
  <si>
    <t>Notes:</t>
  </si>
  <si>
    <t>All Sheets</t>
  </si>
  <si>
    <t>Changed/Modified fields will have Red Text.</t>
  </si>
  <si>
    <t>Configurations Sheet</t>
  </si>
  <si>
    <t>Yellow Names have no assigned Companies.</t>
  </si>
  <si>
    <t>Companies Sheet</t>
  </si>
  <si>
    <t>Yellow Names have no assigned Users.</t>
  </si>
  <si>
    <t>MatchMe Sheet</t>
  </si>
  <si>
    <t>rsmith-gilbert@thinkhr.com</t>
  </si>
  <si>
    <t>master</t>
  </si>
  <si>
    <t>Master Configuration</t>
  </si>
  <si>
    <t/>
  </si>
  <si>
    <t>Other</t>
  </si>
  <si>
    <t>RE Admin</t>
  </si>
  <si>
    <t>Custom 5</t>
  </si>
  <si>
    <t>Status</t>
  </si>
  <si>
    <t>Category</t>
  </si>
  <si>
    <t>Created</t>
  </si>
  <si>
    <t>Responses</t>
  </si>
  <si>
    <t>Creator Id</t>
  </si>
  <si>
    <t>Owner Id</t>
  </si>
  <si>
    <t>Compliance</t>
  </si>
  <si>
    <t>Refresh Token</t>
  </si>
  <si>
    <t>Companies/Users Sheet</t>
  </si>
  <si>
    <t>Green values match a value from their respective column in MatchMe.</t>
  </si>
  <si>
    <t>Orange values have no corresponding value in their respective column in Companies/Users</t>
  </si>
  <si>
    <t>Last Updated</t>
  </si>
  <si>
    <t>Company Since</t>
  </si>
  <si>
    <t>Row Labels</t>
  </si>
  <si>
    <t>Grand Total</t>
  </si>
  <si>
    <t>Column Labels</t>
  </si>
  <si>
    <t>Total Users</t>
  </si>
  <si>
    <t>%</t>
  </si>
  <si>
    <t>Total %</t>
  </si>
  <si>
    <t>Total Issues</t>
  </si>
  <si>
    <t>Total Total Companies</t>
  </si>
  <si>
    <t>Total Total Users</t>
  </si>
  <si>
    <t>Last Name</t>
  </si>
  <si>
    <t>Issue Totals by Category - Breakout by Status</t>
  </si>
  <si>
    <t>Issue Totals by Company by Category - Breakout by Status</t>
  </si>
  <si>
    <t>Company User Totals by Role- Breakout by Active/Inactive</t>
  </si>
  <si>
    <t>Configuration Totals by Company - Breakout by Active/Inactive</t>
  </si>
  <si>
    <t>(blank)</t>
  </si>
  <si>
    <t>ThinkHR Sales Demo</t>
  </si>
  <si>
    <t>My Account</t>
  </si>
  <si>
    <t>Learn</t>
  </si>
  <si>
    <t>Mobile</t>
  </si>
  <si>
    <t>Recommended</t>
  </si>
  <si>
    <t>BCS Elite</t>
  </si>
  <si>
    <t>Handbook Builder</t>
  </si>
  <si>
    <t>Calendar</t>
  </si>
  <si>
    <t>Reports</t>
  </si>
  <si>
    <t>Partner Resources</t>
  </si>
  <si>
    <t>Spanish Handbook</t>
  </si>
  <si>
    <t>Federal Handbook</t>
  </si>
  <si>
    <t>OSHA</t>
  </si>
  <si>
    <t>HR Advisors</t>
  </si>
  <si>
    <t>PEO Handbook</t>
  </si>
  <si>
    <t>Pulse</t>
  </si>
  <si>
    <t>Engage</t>
  </si>
  <si>
    <t>Custom Login Widget</t>
  </si>
  <si>
    <t>System Administration</t>
  </si>
  <si>
    <t>REST APIs</t>
  </si>
  <si>
    <t>Single Sign On</t>
  </si>
  <si>
    <t>Multi State Handbook</t>
  </si>
  <si>
    <t>ThinkHR Premium</t>
  </si>
  <si>
    <t>Learn Admin</t>
  </si>
  <si>
    <t>Benefits Compliance Suite BCS</t>
  </si>
  <si>
    <t>Handbook Builder Elite Plus</t>
  </si>
  <si>
    <t>Single State Handbook</t>
  </si>
  <si>
    <t>BCS Elite Plus</t>
  </si>
  <si>
    <t>SKUs</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</si>
  <si>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</si>
  <si>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</si>
  <si>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</si>
  <si>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</si>
  <si>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</si>
  <si>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</si>
  <si>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</si>
  <si>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</si>
  <si>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</si>
  <si>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</si>
  <si>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</si>
  <si>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</si>
  <si>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</si>
  <si>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</si>
  <si>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</si>
  <si>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</si>
  <si>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</si>
  <si>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</si>
  <si>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</si>
  <si>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</si>
  <si>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</si>
  <si>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</si>
  <si>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</si>
  <si>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</si>
  <si>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</si>
  <si>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</si>
  <si>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</si>
  <si>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</si>
  <si>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system</t>
  </si>
  <si>
    <t>mobile</t>
  </si>
  <si>
    <t>compliance</t>
  </si>
  <si>
    <t>calendar</t>
  </si>
  <si>
    <t>bcs</t>
  </si>
  <si>
    <t>osha</t>
  </si>
  <si>
    <t>reports</t>
  </si>
  <si>
    <t>pulse</t>
  </si>
  <si>
    <t>engage</t>
  </si>
  <si>
    <t>myaccount</t>
  </si>
  <si>
    <t>restapis</t>
  </si>
  <si>
    <t>dashboardrecommended</t>
  </si>
  <si>
    <t>advisors</t>
  </si>
  <si>
    <t>training</t>
  </si>
  <si>
    <t>learn.admin</t>
  </si>
  <si>
    <t>bcselite</t>
  </si>
  <si>
    <t>handbooks</t>
  </si>
  <si>
    <t>handbooks.spanish</t>
  </si>
  <si>
    <t>handbooksfederal</t>
  </si>
  <si>
    <t>handbooksonestate</t>
  </si>
  <si>
    <t>handbooksmultistate</t>
  </si>
  <si>
    <t>peohandbook</t>
  </si>
  <si>
    <t>premium</t>
  </si>
  <si>
    <t>resources</t>
  </si>
  <si>
    <t>sso</t>
  </si>
  <si>
    <t>customloginwidget</t>
  </si>
  <si>
    <t>handbooksplus</t>
  </si>
  <si>
    <t>bcsplus</t>
  </si>
  <si>
    <t>product:all</t>
  </si>
  <si>
    <t>California</t>
  </si>
  <si>
    <t>9252251100</t>
  </si>
  <si>
    <t>123 Main St.</t>
  </si>
  <si>
    <t>Pleasanton</t>
  </si>
  <si>
    <t>Student</t>
  </si>
  <si>
    <t>Bronze</t>
  </si>
  <si>
    <t>Admin</t>
  </si>
  <si>
    <t>bronze-admin@thinkhr.com</t>
  </si>
  <si>
    <t>api-admin@bronzeclient.com</t>
  </si>
  <si>
    <t>1234567890</t>
  </si>
  <si>
    <t>Silver</t>
  </si>
  <si>
    <t>User</t>
  </si>
  <si>
    <t>silver-user@thinkhr.com</t>
  </si>
  <si>
    <t>api-user@silverclient.com</t>
  </si>
  <si>
    <t>Partner</t>
  </si>
  <si>
    <t>partner-user@thinkhr.com</t>
  </si>
  <si>
    <t>api-user@partnerclient.com</t>
  </si>
  <si>
    <t>Gold</t>
  </si>
  <si>
    <t>gold-user@thinkhr.com</t>
  </si>
  <si>
    <t>api-user@goldclient.com</t>
  </si>
  <si>
    <t>gold-admin@thinkhr.com</t>
  </si>
  <si>
    <t>api-admin@goldclient.com</t>
  </si>
  <si>
    <t>partner-admin@thinkhr.com</t>
  </si>
  <si>
    <t>api-admin@partnerclient.com</t>
  </si>
  <si>
    <t>Broker Admin</t>
  </si>
  <si>
    <t>silver-admin@thinkhr.com</t>
  </si>
  <si>
    <t>api-admin@silverclient.com</t>
  </si>
  <si>
    <t>Postman</t>
  </si>
  <si>
    <t>Test</t>
  </si>
  <si>
    <t>(310) 782-3569</t>
  </si>
  <si>
    <t>custom value for 1</t>
  </si>
  <si>
    <t>Total Companies</t>
  </si>
  <si>
    <t>Issues</t>
  </si>
  <si>
    <t>X</t>
  </si>
  <si>
    <t>Pacific Bronze</t>
  </si>
  <si>
    <t>ThinkHR Sales Demo - Bronze</t>
  </si>
  <si>
    <t>Pacific Silver</t>
  </si>
  <si>
    <t>ThinkHR Sales Demo - Silver</t>
  </si>
  <si>
    <t>Pacific Gold</t>
  </si>
  <si>
    <t>ThinkHR Sales Demo - Gold</t>
  </si>
  <si>
    <t>Pacific, Inc.</t>
  </si>
  <si>
    <t>Pacific Inc</t>
  </si>
  <si>
    <t>800-000-0000</t>
  </si>
  <si>
    <t>1234</t>
  </si>
  <si>
    <t>San Jose</t>
  </si>
  <si>
    <t>Great Balls of Fire</t>
  </si>
  <si>
    <t>800-555-1212</t>
  </si>
  <si>
    <t>25 Old Oak Rd</t>
  </si>
  <si>
    <t>Ferriday</t>
  </si>
  <si>
    <t>Louisiana</t>
  </si>
  <si>
    <t>Music</t>
  </si>
  <si>
    <t>Hound Dog</t>
  </si>
  <si>
    <t>(888) 123-4545</t>
  </si>
  <si>
    <t>5555 Main Street</t>
  </si>
  <si>
    <t>Nashville</t>
  </si>
  <si>
    <t>Tennessee</t>
  </si>
  <si>
    <t>Johnnie B Good</t>
  </si>
  <si>
    <t>877-655-5555</t>
  </si>
  <si>
    <t>4545 Rim Rock Road</t>
  </si>
  <si>
    <t>St Louis</t>
  </si>
  <si>
    <t>Missouri</t>
  </si>
  <si>
    <t>Pacific Platinum</t>
  </si>
  <si>
    <t>4637 Chabot Dr.</t>
  </si>
  <si>
    <t>other</t>
  </si>
  <si>
    <t>ThinkHR Sales Demo - Platinum</t>
  </si>
  <si>
    <t>Test Contact 1</t>
  </si>
  <si>
    <t>4637 Chabot Drive</t>
  </si>
  <si>
    <t>Test Config 1</t>
  </si>
  <si>
    <t>Test Contact 2</t>
  </si>
  <si>
    <t>Test Config 2</t>
  </si>
  <si>
    <t>Bronze Light</t>
  </si>
  <si>
    <t>(925) 225-1100</t>
  </si>
  <si>
    <t>pleasanton</t>
  </si>
  <si>
    <t>Just Comply No Handbooks</t>
  </si>
  <si>
    <t>Blue Suede Shoes</t>
  </si>
  <si>
    <t>(999) 999-9999</t>
  </si>
  <si>
    <t>1234 First Street</t>
  </si>
  <si>
    <t>Houston</t>
  </si>
  <si>
    <t>Texas</t>
  </si>
  <si>
    <t>Retail</t>
  </si>
  <si>
    <t>Contact</t>
  </si>
  <si>
    <t>partnercontact@thinkhr.com</t>
  </si>
  <si>
    <t>bronzeclient@thinkhr.com</t>
  </si>
  <si>
    <t>HR Manager</t>
  </si>
  <si>
    <t>Human Resources</t>
  </si>
  <si>
    <t>silverclient@thinkhr.com</t>
  </si>
  <si>
    <t>ajain@thinkhr.com</t>
  </si>
  <si>
    <t>goldclient@thinkhr.com</t>
  </si>
  <si>
    <t>Lois</t>
  </si>
  <si>
    <t>Lane</t>
  </si>
  <si>
    <t>llane@sample.com</t>
  </si>
  <si>
    <t>Sales Rep</t>
  </si>
  <si>
    <t>555-555-5555</t>
  </si>
  <si>
    <t>Sales</t>
  </si>
  <si>
    <t>API</t>
  </si>
  <si>
    <t>Demo</t>
  </si>
  <si>
    <t>demouserj@thinkhr.com</t>
  </si>
  <si>
    <t>HR Director</t>
  </si>
  <si>
    <t>800.000.0000</t>
  </si>
  <si>
    <t>HR</t>
  </si>
  <si>
    <t>cfranco@thinkhr.com</t>
  </si>
  <si>
    <t>cfrancoCF@thinkhr.com</t>
  </si>
  <si>
    <t>student@thinkhr.com</t>
  </si>
  <si>
    <t>Tester</t>
  </si>
  <si>
    <t>cfrancotester@thinkhr.com</t>
  </si>
  <si>
    <t>Elvis</t>
  </si>
  <si>
    <t>Presley</t>
  </si>
  <si>
    <t>elvisp123@thinkhr.com</t>
  </si>
  <si>
    <t>CEO</t>
  </si>
  <si>
    <t>800-555-9999</t>
  </si>
  <si>
    <t>Jerry Lee</t>
  </si>
  <si>
    <t>Lewis</t>
  </si>
  <si>
    <t>jerrylee123@thinkhr.com</t>
  </si>
  <si>
    <t>844-222-3333</t>
  </si>
  <si>
    <t>Chuck</t>
  </si>
  <si>
    <t>Berry</t>
  </si>
  <si>
    <t>chuckb123@thinkhr.com</t>
  </si>
  <si>
    <t>877-366-3333</t>
  </si>
  <si>
    <t>Maddie</t>
  </si>
  <si>
    <t>Muffin</t>
  </si>
  <si>
    <t>akhdfhni@gmail.com</t>
  </si>
  <si>
    <t>5982843268</t>
  </si>
  <si>
    <t>Mary</t>
  </si>
  <si>
    <t>Griffin</t>
  </si>
  <si>
    <t>mgriffin@thinkhr.com</t>
  </si>
  <si>
    <t>mgriffin5@thinkhr.com</t>
  </si>
  <si>
    <t>9252251100246</t>
  </si>
  <si>
    <t>Angel</t>
  </si>
  <si>
    <t>thinkhrexecustaff@gmail.com</t>
  </si>
  <si>
    <t>angeltest@testthinkhr.com</t>
  </si>
  <si>
    <t>000-000-0000</t>
  </si>
  <si>
    <t>Jane</t>
  </si>
  <si>
    <t>Johnson</t>
  </si>
  <si>
    <t>blopusnak@thinkhr.com</t>
  </si>
  <si>
    <t>blopusnak1@thinkhr.com</t>
  </si>
  <si>
    <t>HR Advisor</t>
  </si>
  <si>
    <t>9255555555</t>
  </si>
  <si>
    <t>Bethany</t>
  </si>
  <si>
    <t>Lopusnak</t>
  </si>
  <si>
    <t>blopusnak3@thinkhr.com</t>
  </si>
  <si>
    <t>Loves the Summer</t>
  </si>
  <si>
    <t>mlovesthesummer@thinkhr.com</t>
  </si>
  <si>
    <t>mgriffin6@thinkhr.com</t>
  </si>
  <si>
    <t>555555555</t>
  </si>
  <si>
    <t>Work faster</t>
  </si>
  <si>
    <t>mwork@thinkhr.com</t>
  </si>
  <si>
    <t>mworkfast@thinkhr.com</t>
  </si>
  <si>
    <t>9258196157</t>
  </si>
  <si>
    <t>Testing</t>
  </si>
  <si>
    <t>mgri@thinkhr.com</t>
  </si>
  <si>
    <t>Susie</t>
  </si>
  <si>
    <t>Smith</t>
  </si>
  <si>
    <t>ssmith@xyz123.com</t>
  </si>
  <si>
    <t>AE</t>
  </si>
  <si>
    <t>123-123-1234</t>
  </si>
  <si>
    <t>Jones</t>
  </si>
  <si>
    <t>abc123@abckrst1234.com</t>
  </si>
  <si>
    <t>Management</t>
  </si>
  <si>
    <t>925-784-1235</t>
  </si>
  <si>
    <t>DeeDee</t>
  </si>
  <si>
    <t>Miller</t>
  </si>
  <si>
    <t>abc234@abckrst1234.com</t>
  </si>
  <si>
    <t>925-784-1236</t>
  </si>
  <si>
    <t>Joanna</t>
  </si>
  <si>
    <t>Sanchez</t>
  </si>
  <si>
    <t>2354@abckrst1234.com</t>
  </si>
  <si>
    <t>925-784-1237</t>
  </si>
  <si>
    <t>Paula</t>
  </si>
  <si>
    <t>Garcia</t>
  </si>
  <si>
    <t>werwe@abckrst1234.com</t>
  </si>
  <si>
    <t>925-784-1238</t>
  </si>
  <si>
    <t>Ravindra</t>
  </si>
  <si>
    <t>Arjun</t>
  </si>
  <si>
    <t>werwds@abckrst1234.com</t>
  </si>
  <si>
    <t>925-784-1239</t>
  </si>
  <si>
    <t>Natalie</t>
  </si>
  <si>
    <t>Arndt</t>
  </si>
  <si>
    <t>qwer@abckrst1234.com</t>
  </si>
  <si>
    <t>925-784-1240</t>
  </si>
  <si>
    <t>Crystal</t>
  </si>
  <si>
    <t>Thomas</t>
  </si>
  <si>
    <t>sdfh@abckrst1234.com</t>
  </si>
  <si>
    <t>925-784-1241</t>
  </si>
  <si>
    <t>Shakirah</t>
  </si>
  <si>
    <t>Baldwin-Boyce</t>
  </si>
  <si>
    <t>nbre@abckrst1234.com</t>
  </si>
  <si>
    <t>925-784-1242</t>
  </si>
  <si>
    <t>Dawn</t>
  </si>
  <si>
    <t>Ballard</t>
  </si>
  <si>
    <t>asrhb@abckrst1234.com</t>
  </si>
  <si>
    <t>925-784-1243</t>
  </si>
  <si>
    <t>Melissa</t>
  </si>
  <si>
    <t>Banks</t>
  </si>
  <si>
    <t>4rfwrtbh@abckrst1234.com</t>
  </si>
  <si>
    <t>925-784-1244</t>
  </si>
  <si>
    <t>Gloria</t>
  </si>
  <si>
    <t>Barajas</t>
  </si>
  <si>
    <t>1tyrr236@abckrst1234.com</t>
  </si>
  <si>
    <t>1tyrr236r@bckrst1234.com</t>
  </si>
  <si>
    <t>925-784-1245</t>
  </si>
  <si>
    <t>Barefield</t>
  </si>
  <si>
    <t>3eftyhbv@abckrst1234.com</t>
  </si>
  <si>
    <t>925-784-1246</t>
  </si>
  <si>
    <t>Barnes</t>
  </si>
  <si>
    <t>werq@abckrst1234.com</t>
  </si>
  <si>
    <t>Advisor</t>
  </si>
  <si>
    <t>925-784-1247</t>
  </si>
  <si>
    <t>Barron</t>
  </si>
  <si>
    <t>cxfbvdasrfgsad@abckrst1234.com</t>
  </si>
  <si>
    <t>925-784-1248</t>
  </si>
  <si>
    <t>Baumann</t>
  </si>
  <si>
    <t>eaasdectr865@abckrst1234.com</t>
  </si>
  <si>
    <t>925-784-1249</t>
  </si>
  <si>
    <t>Becerra</t>
  </si>
  <si>
    <t>34rd@abckrst1234.com</t>
  </si>
  <si>
    <t>925-784-1250</t>
  </si>
  <si>
    <t>Lisa</t>
  </si>
  <si>
    <t>Bennett-Watson</t>
  </si>
  <si>
    <t>yi875vbmn@abckrst1234.com</t>
  </si>
  <si>
    <t>925-784-1251</t>
  </si>
  <si>
    <t>Saheem</t>
  </si>
  <si>
    <t>Mahmood</t>
  </si>
  <si>
    <t>smahmood@abckrst1234.com</t>
  </si>
  <si>
    <t>925-784-1252</t>
  </si>
  <si>
    <t>Erica</t>
  </si>
  <si>
    <t>Manley</t>
  </si>
  <si>
    <t>ekrauss@abckrst1234.com</t>
  </si>
  <si>
    <t>925-784-1253</t>
  </si>
  <si>
    <t>Leonora</t>
  </si>
  <si>
    <t>Marquez</t>
  </si>
  <si>
    <t>lmarquez@abckrst1234.com</t>
  </si>
  <si>
    <t>925-784-1254</t>
  </si>
  <si>
    <t>Eric</t>
  </si>
  <si>
    <t>Marrs</t>
  </si>
  <si>
    <t>emarrs@abckrst1234.com</t>
  </si>
  <si>
    <t>Tech Support</t>
  </si>
  <si>
    <t>925-784-1255</t>
  </si>
  <si>
    <t>Abagale</t>
  </si>
  <si>
    <t>White</t>
  </si>
  <si>
    <t>awhite@abckrst1234.com</t>
  </si>
  <si>
    <t>925-784-1256</t>
  </si>
  <si>
    <t>White-Walker</t>
  </si>
  <si>
    <t>mwhite@abckrst1234.com</t>
  </si>
  <si>
    <t>925-784-1257</t>
  </si>
  <si>
    <t>Larry</t>
  </si>
  <si>
    <t>Whitted</t>
  </si>
  <si>
    <t>lwhitted@abckrst1234.com</t>
  </si>
  <si>
    <t>925-784-1258</t>
  </si>
  <si>
    <t>Williams</t>
  </si>
  <si>
    <t>swilliams@abckrst1234.com</t>
  </si>
  <si>
    <t>925-784-1259</t>
  </si>
  <si>
    <t>Nancy</t>
  </si>
  <si>
    <t>Wilson</t>
  </si>
  <si>
    <t>nwilson@abckrst1234.com</t>
  </si>
  <si>
    <t>925-784-1260</t>
  </si>
  <si>
    <t>Beth</t>
  </si>
  <si>
    <t>sawilson@abckrst1234.com</t>
  </si>
  <si>
    <t>925-784-1261</t>
  </si>
  <si>
    <t>Sara</t>
  </si>
  <si>
    <t>Winters</t>
  </si>
  <si>
    <t>swinters@abckrst1234.com</t>
  </si>
  <si>
    <t>925-784-1262</t>
  </si>
  <si>
    <t>Lena</t>
  </si>
  <si>
    <t>Wolfe</t>
  </si>
  <si>
    <t>lwolfe@abckrst1234.com</t>
  </si>
  <si>
    <t>Implementation</t>
  </si>
  <si>
    <t>925-784-1263</t>
  </si>
  <si>
    <t>Kyle</t>
  </si>
  <si>
    <t>Woodruff</t>
  </si>
  <si>
    <t>kwoodruff@abckrst1234.com</t>
  </si>
  <si>
    <t>925-784-1264</t>
  </si>
  <si>
    <t>Ann</t>
  </si>
  <si>
    <t>Worsham</t>
  </si>
  <si>
    <t>aworsham@abckrst1234.com</t>
  </si>
  <si>
    <t>925-784-1265</t>
  </si>
  <si>
    <t>Tomas</t>
  </si>
  <si>
    <t>Yarbrough</t>
  </si>
  <si>
    <t>byarbrough@abckrst1234.com</t>
  </si>
  <si>
    <t>925-784-1266</t>
  </si>
  <si>
    <t>Georgette</t>
  </si>
  <si>
    <t>Young</t>
  </si>
  <si>
    <t>gyoung@abckrst1234.com</t>
  </si>
  <si>
    <t>925-784-1267</t>
  </si>
  <si>
    <t>Javier</t>
  </si>
  <si>
    <t>Youngblood</t>
  </si>
  <si>
    <t>ayoungblood@abckrst1234.com</t>
  </si>
  <si>
    <t>925-784-1268</t>
  </si>
  <si>
    <t>Platinum</t>
  </si>
  <si>
    <t>platinumclient@thinkhr.com</t>
  </si>
  <si>
    <t>Postman.Test-e54db917-17ee-4ac9-b980-61e277dcc610</t>
  </si>
  <si>
    <t>1531327133</t>
  </si>
  <si>
    <t>858</t>
  </si>
  <si>
    <t>374</t>
  </si>
  <si>
    <t>achin@thinkhr.com</t>
  </si>
  <si>
    <t>TestCase1</t>
  </si>
  <si>
    <t>TestCase2</t>
  </si>
  <si>
    <t>Rebecca</t>
  </si>
  <si>
    <t>Ruzich</t>
  </si>
  <si>
    <t>achin@thinkhr.com072318</t>
  </si>
  <si>
    <t>b</t>
  </si>
  <si>
    <t>a</t>
  </si>
  <si>
    <t>asdlkfj</t>
  </si>
  <si>
    <t>aslkfdjsd</t>
  </si>
  <si>
    <t>achin@thinkhr.com-02</t>
  </si>
  <si>
    <t>asdf</t>
  </si>
  <si>
    <t>asf</t>
  </si>
  <si>
    <t>Danny</t>
  </si>
  <si>
    <t>danny.demo@pacificgold.com</t>
  </si>
  <si>
    <t>optional</t>
  </si>
  <si>
    <t>Just</t>
  </si>
  <si>
    <t>Comply</t>
  </si>
  <si>
    <t>justcomply@thinkhr.com</t>
  </si>
  <si>
    <t>Robin</t>
  </si>
  <si>
    <t>robin@computingdreams.com</t>
  </si>
  <si>
    <t>925-368-8685</t>
  </si>
  <si>
    <t>Robin_Smith_1</t>
  </si>
  <si>
    <t>Robin_Smith_2</t>
  </si>
  <si>
    <t>robin+1@computingdreams.com</t>
  </si>
  <si>
    <t>RobinTester</t>
  </si>
  <si>
    <t>925-555-1212</t>
  </si>
  <si>
    <t>Carl</t>
  </si>
  <si>
    <t>Perkins</t>
  </si>
  <si>
    <t>cperkins@bss.com</t>
  </si>
  <si>
    <t>cxperkins</t>
  </si>
  <si>
    <t>VP of Sales</t>
  </si>
  <si>
    <t>out</t>
  </si>
  <si>
    <t>test</t>
  </si>
  <si>
    <t>out_test_1</t>
  </si>
  <si>
    <t>###-###-####</t>
  </si>
  <si>
    <t>outbound</t>
  </si>
  <si>
    <t>outbound_test_1</t>
  </si>
  <si>
    <t>Comply, Live, Single-State HB</t>
  </si>
  <si>
    <t>Comply, Federal HB</t>
  </si>
  <si>
    <t>Comply, Live, Learn, Multi-State HB, Spanish HB, OSHA, BCS Elite</t>
  </si>
  <si>
    <t>Comply, Live, Learn, Multi-State HB, OSHA</t>
  </si>
  <si>
    <t>Handbook Builder, Federal Builder, Multi-State Builder</t>
  </si>
  <si>
    <t>Spanish, Single State, HBB, Federal</t>
  </si>
  <si>
    <t>Learn Only</t>
  </si>
  <si>
    <t>closed</t>
  </si>
  <si>
    <t>cancel</t>
  </si>
  <si>
    <t>Employee Benefits</t>
  </si>
  <si>
    <t>Recruiting and Hiring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</si>
</sst>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
    <numFmt numFmtId="165" formatCode="[&lt;=9999999]###\-####;\(###\)\ ###\-####"/>
    <numFmt numFmtId="166" formatCode="&quot;True&quot;;&quot;True&quot;;&quot;False&quot;"/>
  </numFmts>
  <fonts count="14" x14ac:knownFonts="1">
    <font>
      <sz val="11"/>
      <color theme="1"/>
      <name val="Calibri"/>
      <family val="2"/>
      <scheme val="minor"/>
    </font>
    <font>
      <b/>
      <sz val="11"/>
      <color theme="1"/>
      <name val="Calibri"/>
      <family val="2"/>
      <scheme val="minor"/>
    </font>
    <font>
      <b/>
      <sz val="11"/>
      <color rgb="FFFF0000"/>
      <name val="Calibri"/>
      <family val="2"/>
      <scheme val="minor"/>
    </font>
    <font>
      <u/>
      <sz val="11"/>
      <color theme="10"/>
      <name val="Calibri"/>
      <family val="2"/>
      <scheme val="minor"/>
    </font>
    <font>
      <u/>
      <sz val="11"/>
      <color theme="11"/>
      <name val="Calibri"/>
      <family val="2"/>
      <scheme val="minor"/>
    </font>
    <font>
      <b/>
      <sz val="9"/>
      <color indexed="81"/>
      <name val="Tahoma"/>
      <family val="2"/>
    </font>
    <font>
      <b/>
      <sz val="9"/>
      <color rgb="FF000000"/>
      <name val="Tahoma"/>
      <family val="2"/>
    </font>
    <font>
      <sz val="10"/>
      <color rgb="FF000000"/>
      <name val="Tahoma"/>
      <family val="2"/>
    </font>
    <font>
      <sz val="11"/>
      <color theme="0" tint="-0.499984740745262"/>
      <name val="Calibri"/>
      <family val="2"/>
      <scheme val="minor"/>
    </font>
    <font>
      <b/>
      <sz val="11"/>
      <name val="Calibri"/>
      <family val="2"/>
      <scheme val="minor"/>
    </font>
    <font>
      <b/>
      <sz val="16"/>
      <color theme="1"/>
      <name val="Cambria"/>
      <family val="1"/>
      <scheme val="major"/>
    </font>
    <font>
      <sz val="11"/>
      <color rgb="FF000000"/>
      <name val="Calibri"/>
      <family val="2"/>
    </font>
    <font>
      <sz val="8"/>
      <color rgb="FF000000"/>
      <name val="Segoe UI"/>
      <family val="2"/>
    </font>
    <font>
      <sz val="11"/>
      <color rgb="FFFFFFFF"/>
      <name val="Calibri"/>
      <family val="2"/>
      <scheme val="minor"/>
    </font>
  </fonts>
  <fills count="3">
    <fill>
      <patternFill patternType="none"/>
    </fill>
    <fill>
      <patternFill patternType="gray125"/>
    </fill>
    <fill>
      <patternFill patternType="solid">
        <fgColor theme="8" tint="0.59999389629810485"/>
        <bgColor indexed="64"/>
      </patternFill>
    </fill>
  </fills>
  <borders count="1">
    <border>
      <left/>
      <right/>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89">
    <xf numFmtId="0" fontId="0" fillId="0" borderId="0" xfId="0"/>
    <xf numFmtId="49" fontId="0" fillId="0" borderId="0" xfId="0" applyNumberFormat="1"/>
    <xf numFmtId="49" fontId="0" fillId="0" borderId="0" xfId="0" applyNumberFormat="1" applyFill="1" applyAlignment="1">
      <alignment vertical="top"/>
    </xf>
    <xf numFmtId="0" fontId="0" fillId="0" borderId="0" xfId="0" applyAlignment="1" applyProtection="1">
      <alignment vertical="top" wrapText="1"/>
      <protection locked="0"/>
    </xf>
    <xf numFmtId="9" fontId="0" fillId="0" borderId="0" xfId="0" applyNumberFormat="1" applyAlignment="1" applyProtection="1">
      <alignment horizontal="left" vertical="top"/>
      <protection locked="0"/>
    </xf>
    <xf numFmtId="49" fontId="0" fillId="0" borderId="0" xfId="0" applyNumberFormat="1" applyAlignment="1" applyProtection="1">
      <alignment vertical="top"/>
      <protection locked="0"/>
    </xf>
    <xf numFmtId="49" fontId="1" fillId="0" borderId="0" xfId="0" applyNumberFormat="1" applyFont="1"/>
    <xf numFmtId="10" fontId="0" fillId="0" borderId="0" xfId="0" applyNumberFormat="1" applyAlignment="1" applyProtection="1">
      <alignment horizontal="left" vertical="top"/>
      <protection locked="0"/>
    </xf>
    <xf numFmtId="49" fontId="2" fillId="0" borderId="0" xfId="0" applyNumberFormat="1" applyFont="1"/>
    <xf numFmtId="0" fontId="0" fillId="0" borderId="0" xfId="0" applyFill="1"/>
    <xf numFmtId="49" fontId="0" fillId="0" borderId="0" xfId="0" applyNumberFormat="1" applyAlignment="1" applyProtection="1">
      <alignment vertical="top" wrapText="1"/>
      <protection locked="0"/>
    </xf>
    <xf numFmtId="49" fontId="0" fillId="0" borderId="0" xfId="0" applyNumberFormat="1" applyAlignment="1" applyProtection="1">
      <alignment horizontal="right" wrapText="1"/>
      <protection locked="0"/>
    </xf>
    <xf numFmtId="49" fontId="0" fillId="0" borderId="0" xfId="0" applyNumberFormat="1" applyAlignment="1">
      <alignment horizontal="left" vertical="top"/>
    </xf>
    <xf numFmtId="49" fontId="1" fillId="0" borderId="0" xfId="0" applyNumberFormat="1" applyFont="1" applyAlignment="1" applyProtection="1">
      <alignment horizontal="center" vertical="top"/>
      <protection locked="0"/>
    </xf>
    <xf numFmtId="49" fontId="1" fillId="0" borderId="0" xfId="0" applyNumberFormat="1" applyFont="1" applyAlignment="1">
      <alignment wrapText="1"/>
    </xf>
    <xf numFmtId="164" fontId="0" fillId="0" borderId="0" xfId="3" applyNumberFormat="1" applyFont="1" applyProtection="1">
      <protection hidden="1"/>
    </xf>
    <xf numFmtId="164" fontId="0" fillId="0" borderId="0" xfId="0" applyNumberFormat="1" applyProtection="1">
      <protection hidden="1"/>
    </xf>
    <xf numFmtId="0" fontId="3" fillId="0" borderId="0" xfId="3" applyFill="1"/>
    <xf numFmtId="10" fontId="0" fillId="0" borderId="0" xfId="0" applyNumberFormat="1" applyAlignment="1" applyProtection="1">
      <alignment horizontal="center" vertical="top"/>
    </xf>
    <xf numFmtId="49" fontId="0" fillId="0" borderId="0" xfId="0" applyNumberFormat="1" applyAlignment="1" applyProtection="1">
      <alignment horizontal="left" vertical="top"/>
    </xf>
    <xf numFmtId="9" fontId="0" fillId="0" borderId="0" xfId="0" applyNumberFormat="1" applyAlignment="1" applyProtection="1">
      <alignment horizontal="left" vertical="top"/>
    </xf>
    <xf numFmtId="49" fontId="0" fillId="0" borderId="0" xfId="0" applyNumberFormat="1" applyAlignment="1" applyProtection="1">
      <alignment horizontal="right" vertical="top"/>
    </xf>
    <xf numFmtId="0" fontId="0" fillId="0" borderId="0" xfId="0" applyProtection="1"/>
    <xf numFmtId="49" fontId="0" fillId="0" borderId="0" xfId="0" applyNumberFormat="1" applyAlignment="1" applyProtection="1">
      <alignment vertical="top"/>
    </xf>
    <xf numFmtId="49" fontId="0" fillId="0" borderId="0" xfId="0" applyNumberFormat="1" applyAlignment="1" applyProtection="1">
      <alignment horizontal="center" vertical="top"/>
      <protection locked="0"/>
    </xf>
    <xf numFmtId="0" fontId="0" fillId="0" borderId="0" xfId="0" applyFill="1" applyAlignment="1">
      <alignment vertical="top"/>
    </xf>
    <xf numFmtId="0" fontId="0" fillId="0" borderId="0" xfId="0" applyAlignment="1" applyProtection="1">
      <alignment horizontal="right" vertical="top"/>
    </xf>
    <xf numFmtId="0" fontId="0" fillId="0" borderId="0" xfId="0" applyAlignment="1" applyProtection="1">
      <alignment horizontal="left" vertical="top"/>
    </xf>
    <xf numFmtId="49" fontId="3" fillId="0" borderId="0" xfId="3" applyNumberFormat="1"/>
    <xf numFmtId="49" fontId="0" fillId="0" borderId="0" xfId="0" applyNumberFormat="1" applyFont="1"/>
    <xf numFmtId="166" fontId="8" fillId="0" borderId="0" xfId="0" applyNumberFormat="1" applyFont="1" applyFill="1" applyAlignment="1" applyProtection="1">
      <alignment horizontal="center" vertical="top"/>
    </xf>
    <xf numFmtId="49" fontId="0" fillId="0" borderId="0" xfId="0" applyNumberFormat="1" applyFill="1" applyAlignment="1" applyProtection="1">
      <alignment horizontal="left"/>
      <protection locked="0"/>
    </xf>
    <xf numFmtId="166" fontId="0" fillId="0" borderId="0" xfId="0" applyNumberFormat="1" applyFill="1" applyAlignment="1" applyProtection="1">
      <alignment horizontal="center" vertical="top"/>
      <protection locked="0"/>
    </xf>
    <xf numFmtId="0" fontId="0" fillId="0" borderId="0" xfId="0" applyFill="1" applyProtection="1">
      <protection locked="0"/>
    </xf>
    <xf numFmtId="1" fontId="8" fillId="0" borderId="0" xfId="0" applyNumberFormat="1" applyFont="1" applyFill="1" applyAlignment="1" applyProtection="1">
      <alignment horizontal="right"/>
    </xf>
    <xf numFmtId="49" fontId="8" fillId="0" borderId="0" xfId="0" applyNumberFormat="1" applyFont="1" applyFill="1" applyAlignment="1" applyProtection="1">
      <alignment horizontal="left"/>
    </xf>
    <xf numFmtId="1" fontId="8" fillId="0" borderId="0" xfId="0" applyNumberFormat="1" applyFont="1" applyFill="1" applyAlignment="1">
      <alignment horizontal="right"/>
    </xf>
    <xf numFmtId="1" fontId="8" fillId="0" borderId="0" xfId="0" applyNumberFormat="1" applyFont="1" applyFill="1" applyAlignment="1" applyProtection="1">
      <alignment horizontal="right" vertical="top"/>
    </xf>
    <xf numFmtId="1" fontId="0" fillId="0" borderId="0" xfId="0" applyNumberFormat="1" applyFill="1" applyAlignment="1" applyProtection="1">
      <alignment horizontal="right"/>
      <protection locked="0"/>
    </xf>
    <xf numFmtId="0" fontId="7" fillId="0" borderId="0" xfId="0" applyFont="1" applyFill="1" applyAlignment="1" applyProtection="1">
      <alignment horizontal="left" vertical="center" readingOrder="1"/>
      <protection locked="0"/>
    </xf>
    <xf numFmtId="49" fontId="0" fillId="0" borderId="0" xfId="0" applyNumberFormat="1" applyFill="1" applyAlignment="1" applyProtection="1">
      <alignment horizontal="right" vertical="top"/>
      <protection locked="0"/>
    </xf>
    <xf numFmtId="49" fontId="0" fillId="0" borderId="0" xfId="0" applyNumberFormat="1" applyFill="1" applyAlignment="1" applyProtection="1">
      <alignment horizontal="left" vertical="top"/>
      <protection locked="0"/>
    </xf>
    <xf numFmtId="1" fontId="1" fillId="0" borderId="0" xfId="0" applyNumberFormat="1" applyFont="1" applyAlignment="1" applyProtection="1">
      <alignment horizontal="center" vertical="top"/>
    </xf>
    <xf numFmtId="49" fontId="1" fillId="0" borderId="0" xfId="0" applyNumberFormat="1" applyFont="1" applyAlignment="1" applyProtection="1">
      <alignment horizontal="center" vertical="top"/>
    </xf>
    <xf numFmtId="49" fontId="1" fillId="0" borderId="0" xfId="0" applyNumberFormat="1" applyFont="1" applyAlignment="1" applyProtection="1">
      <alignment vertical="top"/>
    </xf>
    <xf numFmtId="0" fontId="1" fillId="0" borderId="0" xfId="0" applyFont="1" applyAlignment="1" applyProtection="1">
      <alignment horizontal="center" vertical="top"/>
    </xf>
    <xf numFmtId="165" fontId="1" fillId="0" borderId="0" xfId="0" applyNumberFormat="1" applyFont="1" applyAlignment="1" applyProtection="1">
      <alignment horizontal="center" vertical="top"/>
    </xf>
    <xf numFmtId="0" fontId="0" fillId="0" borderId="0" xfId="0" applyFill="1" applyAlignment="1" applyProtection="1">
      <alignment horizontal="left" vertical="top"/>
      <protection locked="0"/>
    </xf>
    <xf numFmtId="0" fontId="0" fillId="0" borderId="0" xfId="0" applyFill="1" applyAlignment="1" applyProtection="1">
      <alignment horizontal="right" vertical="top"/>
      <protection locked="0"/>
    </xf>
    <xf numFmtId="1" fontId="1" fillId="0" borderId="0" xfId="0" applyNumberFormat="1" applyFont="1" applyAlignment="1" applyProtection="1">
      <alignment horizontal="center" vertical="top"/>
      <protection locked="0"/>
    </xf>
    <xf numFmtId="166" fontId="0" fillId="0" borderId="0" xfId="0" applyNumberFormat="1" applyFill="1" applyAlignment="1" applyProtection="1">
      <alignment horizontal="left" vertical="top"/>
      <protection locked="0"/>
    </xf>
    <xf numFmtId="49" fontId="0" fillId="0" borderId="0" xfId="0" applyNumberFormat="1" applyFill="1" applyAlignment="1" applyProtection="1">
      <alignment horizontal="left" wrapText="1"/>
      <protection locked="0"/>
    </xf>
    <xf numFmtId="1" fontId="0" fillId="0" borderId="0" xfId="0" applyNumberFormat="1" applyFill="1" applyAlignment="1" applyProtection="1">
      <alignment horizontal="right" wrapText="1"/>
      <protection locked="0"/>
    </xf>
    <xf numFmtId="49" fontId="0" fillId="0" borderId="0" xfId="0" applyNumberFormat="1" applyFill="1"/>
    <xf numFmtId="49" fontId="3" fillId="0" borderId="0" xfId="3" applyNumberFormat="1" applyFill="1" applyAlignment="1" applyProtection="1">
      <alignment horizontal="left" vertical="top"/>
      <protection locked="0"/>
    </xf>
    <xf numFmtId="0" fontId="0" fillId="0" borderId="0" xfId="0" applyAlignment="1">
      <alignment vertical="top"/>
    </xf>
    <xf numFmtId="0" fontId="0" fillId="0" borderId="0" xfId="0" applyAlignment="1">
      <alignment horizontal="center" vertical="top"/>
    </xf>
    <xf numFmtId="0" fontId="0" fillId="0" borderId="0" xfId="0" applyAlignment="1">
      <alignment horizontal="right" vertical="top"/>
    </xf>
    <xf numFmtId="0" fontId="0" fillId="0" borderId="0" xfId="0" applyAlignment="1">
      <alignment horizontal="left" vertical="top"/>
    </xf>
    <xf numFmtId="14" fontId="0" fillId="0" borderId="0" xfId="0" applyNumberFormat="1" applyAlignment="1">
      <alignment horizontal="right" vertical="top"/>
    </xf>
    <xf numFmtId="0" fontId="0" fillId="0" borderId="0" xfId="0" applyAlignment="1">
      <alignment horizontal="left" vertical="top" wrapText="1"/>
    </xf>
    <xf numFmtId="0" fontId="1" fillId="0" borderId="0" xfId="0" applyFont="1" applyAlignment="1">
      <alignment horizontal="center" vertical="top"/>
    </xf>
    <xf numFmtId="164" fontId="0" fillId="0" borderId="0" xfId="0" applyNumberFormat="1" applyAlignment="1">
      <alignment horizontal="left" vertical="top"/>
    </xf>
    <xf numFmtId="14" fontId="1" fillId="0" borderId="0" xfId="0" applyNumberFormat="1" applyFont="1" applyAlignment="1" applyProtection="1">
      <alignment horizontal="center" vertical="top"/>
      <protection locked="0"/>
    </xf>
    <xf numFmtId="14" fontId="0" fillId="0" borderId="0" xfId="0" applyNumberFormat="1" applyFill="1" applyAlignment="1">
      <alignment vertical="top"/>
    </xf>
    <xf numFmtId="14" fontId="0" fillId="0" borderId="0" xfId="0" applyNumberFormat="1" applyFill="1"/>
    <xf numFmtId="14" fontId="9" fillId="0" borderId="0" xfId="0" applyNumberFormat="1" applyFont="1" applyAlignment="1" applyProtection="1">
      <alignment horizontal="center" vertical="top"/>
    </xf>
    <xf numFmtId="14" fontId="0" fillId="0" borderId="0" xfId="0" applyNumberFormat="1" applyFill="1" applyAlignment="1" applyProtection="1">
      <alignment horizontal="right" vertical="top"/>
      <protection locked="0"/>
    </xf>
    <xf numFmtId="0" fontId="0" fillId="0" borderId="0" xfId="0" applyAlignment="1">
      <alignment horizontal="left"/>
    </xf>
    <xf numFmtId="0" fontId="0" fillId="0" borderId="0" xfId="0" applyNumberFormat="1"/>
    <xf numFmtId="10" fontId="0" fillId="0" borderId="0" xfId="0" applyNumberFormat="1"/>
    <xf numFmtId="0" fontId="0" fillId="0" borderId="0" xfId="0" pivotButton="1" applyAlignment="1">
      <alignment horizontal="center"/>
    </xf>
    <xf numFmtId="0" fontId="0" fillId="0" borderId="0" xfId="0" pivotButton="1" applyAlignment="1">
      <alignment horizontal="center" vertical="top"/>
    </xf>
    <xf numFmtId="0" fontId="0" fillId="0" borderId="0" xfId="0" applyAlignment="1">
      <alignment horizontal="left" indent="1"/>
    </xf>
    <xf numFmtId="49" fontId="0" fillId="0" borderId="0" xfId="0" applyNumberFormat="1" applyAlignment="1" applyProtection="1">
      <alignment horizontal="left" vertical="top"/>
      <protection locked="0"/>
    </xf>
    <xf numFmtId="0" fontId="0" fillId="0" borderId="0" xfId="0" applyBorder="1" applyAlignment="1">
      <alignment horizontal="left" vertical="top"/>
    </xf>
    <xf numFmtId="0" fontId="1" fillId="0" borderId="0" xfId="0" applyFont="1" applyBorder="1" applyAlignment="1">
      <alignment vertical="top"/>
    </xf>
    <xf numFmtId="0" fontId="8" fillId="0" borderId="0" xfId="0" applyFont="1" applyFill="1" applyAlignment="1" applyProtection="1">
      <alignment horizontal="center" vertical="top"/>
      <protection locked="0"/>
    </xf>
    <xf numFmtId="0" fontId="0" fillId="0" borderId="0" xfId="0" applyAlignment="1">
      <alignment horizontal="center" vertical="center" wrapText="1"/>
    </xf>
    <xf numFmtId="0" fontId="0" fillId="0" borderId="0" xfId="0" applyAlignment="1">
      <alignment horizontal="center"/>
    </xf>
    <xf numFmtId="0" fontId="10" fillId="0" borderId="0" xfId="0" applyFont="1" applyAlignment="1"/>
    <xf numFmtId="49" fontId="13" fillId="0" borderId="0" xfId="0" applyNumberFormat="1" applyFont="1" applyAlignment="1" applyProtection="1">
      <alignment horizontal="right" vertical="top" wrapText="1"/>
    </xf>
    <xf numFmtId="0" fontId="13" fillId="0" borderId="0" xfId="0" applyNumberFormat="1" applyFont="1" applyAlignment="1" applyProtection="1">
      <alignment vertical="top" wrapText="1"/>
      <protection locked="0"/>
    </xf>
    <xf numFmtId="49" fontId="0" fillId="0" borderId="0" xfId="0" applyNumberFormat="1" applyFill="1" applyAlignment="1">
      <alignment horizontal="center" vertical="top"/>
    </xf>
    <xf numFmtId="49" fontId="0" fillId="2" borderId="0" xfId="0" applyNumberFormat="1" applyFill="1" applyAlignment="1" applyProtection="1">
      <alignment horizontal="center" vertical="top"/>
    </xf>
    <xf numFmtId="0" fontId="0" fillId="0" borderId="0" xfId="0" applyAlignment="1">
      <alignment horizontal="center" vertical="center" wrapText="1"/>
    </xf>
    <xf numFmtId="0" fontId="0" fillId="0" borderId="0" xfId="0" applyAlignment="1">
      <alignment horizontal="center" vertical="top"/>
    </xf>
    <xf numFmtId="0" fontId="10" fillId="0" borderId="0" xfId="0" applyFont="1" applyAlignment="1">
      <alignment horizontal="center"/>
    </xf>
    <xf numFmtId="0" fontId="0" fillId="0" borderId="0" xfId="0"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72">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C0000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ont>
        <color rgb="FFC00000"/>
      </font>
    </dxf>
    <dxf>
      <fill>
        <patternFill>
          <bgColor rgb="FFFFFF00"/>
        </patternFill>
      </fill>
    </dxf>
    <dxf>
      <font>
        <color rgb="FFC0000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C0000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ont>
        <color rgb="FFC00000"/>
      </font>
    </dxf>
    <dxf>
      <font>
        <color rgb="FFC00000"/>
      </font>
    </dxf>
    <dxf>
      <fill>
        <patternFill>
          <bgColor rgb="FFFFFF00"/>
        </patternFill>
      </fill>
    </dxf>
    <dxf>
      <alignment vertical="top"/>
    </dxf>
    <dxf>
      <alignment vertical="top"/>
    </dxf>
    <dxf>
      <alignment horizontal="center"/>
    </dxf>
    <dxf>
      <alignment vertical="top"/>
    </dxf>
    <dxf>
      <alignment vertical="top"/>
    </dxf>
    <dxf>
      <alignment vertical="top"/>
    </dxf>
    <dxf>
      <alignment vertical="top"/>
    </dxf>
    <dxf>
      <alignment horizontal="center"/>
    </dxf>
    <dxf>
      <alignment horizontal="center"/>
    </dxf>
    <dxf>
      <alignment horizontal="center"/>
    </dxf>
    <dxf>
      <alignment horizontal="center"/>
    </dxf>
    <dxf>
      <alignment horizontal="center"/>
    </dxf>
    <dxf>
      <alignment vertical="top"/>
    </dxf>
    <dxf>
      <alignment vertical="top"/>
    </dxf>
    <dxf>
      <alignment vertical="top"/>
    </dxf>
    <dxf>
      <alignment vertical="top"/>
    </dxf>
    <dxf>
      <alignment vertical="top"/>
    </dxf>
    <dxf>
      <alignment horizontal="center"/>
    </dxf>
    <dxf>
      <alignment horizontal="center"/>
    </dxf>
    <dxf>
      <alignment horizontal="center"/>
    </dxf>
    <dxf>
      <alignment horizontal="center"/>
    </dxf>
    <dxf>
      <alignment horizontal="center"/>
    </dxf>
    <dxf>
      <alignment vertical="top"/>
    </dxf>
    <dxf>
      <alignment vertical="top"/>
    </dxf>
    <dxf>
      <alignment vertical="top"/>
    </dxf>
    <dxf>
      <alignment horizontal="center"/>
    </dxf>
  </dxfs>
  <tableStyles count="0" defaultTableStyle="TableStyleMedium2" defaultPivotStyle="PivotStyleLight16"/>
  <colors>
    <mruColors>
      <color rgb="FF00ED19"/>
      <color rgb="FF0AE21F"/>
      <color rgb="FF42E31B"/>
      <color rgb="FF7AE51B"/>
      <color rgb="FFAEE319"/>
      <color rgb="FFDDF81F"/>
      <color rgb="FFF8EE1B"/>
      <color rgb="FFFBB716"/>
      <color rgb="FFFA7E0C"/>
      <color rgb="FFF84D0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http://www.thinkhr.com/" TargetMode="Externa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126092</xdr:colOff>
      <xdr:row>0</xdr:row>
      <xdr:rowOff>123824</xdr:rowOff>
    </xdr:from>
    <xdr:to>
      <xdr:col>1</xdr:col>
      <xdr:colOff>1361956</xdr:colOff>
      <xdr:row>2</xdr:row>
      <xdr:rowOff>122618</xdr:rowOff>
    </xdr:to>
    <xdr:pic macro="[0]!EditSettings">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1622878" y="123824"/>
          <a:ext cx="1234440" cy="370332"/>
        </a:xfrm>
        <a:prstGeom prst="rect">
          <a:avLst/>
        </a:prstGeom>
      </xdr:spPr>
    </xdr:pic>
    <xdr:clientData fPrintsWithSheet="0"/>
  </xdr:twoCellAnchor>
  <xdr:twoCellAnchor editAs="oneCell">
    <xdr:from>
      <xdr:col>0</xdr:col>
      <xdr:colOff>54428</xdr:colOff>
      <xdr:row>0</xdr:row>
      <xdr:rowOff>32657</xdr:rowOff>
    </xdr:from>
    <xdr:to>
      <xdr:col>0</xdr:col>
      <xdr:colOff>1465852</xdr:colOff>
      <xdr:row>2</xdr:row>
      <xdr:rowOff>170089</xdr:rowOff>
    </xdr:to>
    <xdr:pic>
      <xdr:nvPicPr>
        <xdr:cNvPr id="5" name="Picture 4">
          <a:hlinkClick xmlns:r="http://schemas.openxmlformats.org/officeDocument/2006/relationships" r:id="rId2"/>
          <a:extLst>
            <a:ext uri="{FF2B5EF4-FFF2-40B4-BE49-F238E27FC236}">
              <a16:creationId xmlns:a16="http://schemas.microsoft.com/office/drawing/2014/main" id="{00000000-0008-0000-0100-000005000000}"/>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4428" y="32657"/>
          <a:ext cx="1414145" cy="5048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979714</xdr:colOff>
          <xdr:row>0</xdr:row>
          <xdr:rowOff>125186</xdr:rowOff>
        </xdr:from>
        <xdr:to>
          <xdr:col>4</xdr:col>
          <xdr:colOff>887186</xdr:colOff>
          <xdr:row>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Download data from ThinkHR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408214</xdr:colOff>
          <xdr:row>0</xdr:row>
          <xdr:rowOff>114300</xdr:rowOff>
        </xdr:from>
        <xdr:to>
          <xdr:col>7</xdr:col>
          <xdr:colOff>1094014</xdr:colOff>
          <xdr:row>2</xdr:row>
          <xdr:rowOff>65314</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Upload data to ThinkHR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391886</xdr:colOff>
          <xdr:row>0</xdr:row>
          <xdr:rowOff>125186</xdr:rowOff>
        </xdr:from>
        <xdr:to>
          <xdr:col>10</xdr:col>
          <xdr:colOff>887186</xdr:colOff>
          <xdr:row>2</xdr:row>
          <xdr:rowOff>76200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Clear ALL data and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54429</xdr:colOff>
          <xdr:row>3</xdr:row>
          <xdr:rowOff>16329</xdr:rowOff>
        </xdr:from>
        <xdr:to>
          <xdr:col>3</xdr:col>
          <xdr:colOff>832757</xdr:colOff>
          <xdr:row>3</xdr:row>
          <xdr:rowOff>179614</xdr:rowOff>
        </xdr:to>
        <xdr:sp macro="" textlink="">
          <xdr:nvSpPr>
            <xdr:cNvPr id="1029" name="ReverseSortCheckbox"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Reverse Sort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in R. Smith-Gilbert" refreshedDate="43376.517565509261" createdVersion="6" refreshedVersion="6" minRefreshableVersion="3" recordCount="144" xr:uid="{C5885FFA-7269-4C85-8B13-5B1466E4534F}">
  <cacheSource type="worksheet">
    <worksheetSource name="=users"/>
  </cacheSource>
  <cacheFields count="16">
    <cacheField name="Id" numFmtId="1">
      <sharedItems containsString="0" containsBlank="1" containsNumber="1" containsInteger="1" minValue="536770" maxValue="970669"/>
    </cacheField>
    <cacheField name="First Name" numFmtId="0">
      <sharedItems containsBlank="1"/>
    </cacheField>
    <cacheField name="LastName" numFmtId="0">
      <sharedItems containsBlank="1" containsMixedTypes="1" containsNumber="1" containsInteger="1" minValue="1" maxValue="2"/>
    </cacheField>
    <cacheField name="Company" numFmtId="0">
      <sharedItems containsBlank="1" containsMixedTypes="1" containsNumber="1" containsInteger="1" minValue="1776" maxValue="6199938069" count="16">
        <s v="ThinkHR Sales Demo"/>
        <s v="Pacific Bronze"/>
        <s v="Pacific Silver"/>
        <s v="Pacific Gold"/>
        <s v="Pacific, Inc."/>
        <s v="Hound Dog"/>
        <s v="Great Balls of Fire"/>
        <s v="Johnnie B Good"/>
        <s v="Pacific Platinum"/>
        <s v="Test Contact 1"/>
        <s v="Test Contact 2"/>
        <s v="Bronze Light"/>
        <s v="Blue Suede Shoes"/>
        <m/>
        <n v="1776" u="1"/>
        <n v="6199938069" u="1"/>
      </sharedItems>
    </cacheField>
    <cacheField name="Email" numFmtId="0">
      <sharedItems containsBlank="1"/>
    </cacheField>
    <cacheField name="User Name" numFmtId="0">
      <sharedItems containsBlank="1"/>
    </cacheField>
    <cacheField name="Job Title" numFmtId="0">
      <sharedItems containsBlank="1"/>
    </cacheField>
    <cacheField name="Phone" numFmtId="49">
      <sharedItems containsBlank="1"/>
    </cacheField>
    <cacheField name="Department" numFmtId="0">
      <sharedItems containsBlank="1"/>
    </cacheField>
    <cacheField name="Role" numFmtId="0">
      <sharedItems containsBlank="1" count="5">
        <s v="Broker Admin"/>
        <s v="RE Admin"/>
        <s v="Student"/>
        <s v="Broker"/>
        <m/>
      </sharedItems>
    </cacheField>
    <cacheField name="Custom 1" numFmtId="49">
      <sharedItems containsBlank="1"/>
    </cacheField>
    <cacheField name="Custom 2" numFmtId="49">
      <sharedItems containsBlank="1"/>
    </cacheField>
    <cacheField name="Custom 3" numFmtId="49">
      <sharedItems containsBlank="1"/>
    </cacheField>
    <cacheField name="Custom 4" numFmtId="49">
      <sharedItems containsBlank="1"/>
    </cacheField>
    <cacheField name="Active" numFmtId="166">
      <sharedItems containsString="0" containsBlank="1" containsNumber="1" containsInteger="1" minValue="0" maxValue="1" count="3">
        <n v="1"/>
        <m/>
        <n v="0" u="1"/>
      </sharedItems>
    </cacheField>
    <cacheField name="Last Updated" numFmtId="14">
      <sharedItems containsNonDate="0" containsDate="1" containsString="0" containsBlank="1" minDate="2018-07-10T06:32:21" maxDate="2018-10-03T17:42:5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in R. Smith-Gilbert" refreshedDate="43376.517565856484" createdVersion="6" refreshedVersion="6" minRefreshableVersion="3" recordCount="3439" xr:uid="{8F75AC8A-AC5A-45F5-8B96-D8EA29B1A800}">
  <cacheSource type="worksheet">
    <worksheetSource name="=Issues"/>
  </cacheSource>
  <cacheFields count="15">
    <cacheField name="Id" numFmtId="0">
      <sharedItems containsString="0" containsBlank="1" containsNumber="1" containsInteger="1" minValue="407498" maxValue="440607"/>
    </cacheField>
    <cacheField name="Creator Id" numFmtId="0">
      <sharedItems containsString="0" containsBlank="1" containsNumber="1" containsInteger="1" minValue="20150" maxValue="536789"/>
    </cacheField>
    <cacheField name="First Name" numFmtId="0">
      <sharedItems containsBlank="1"/>
    </cacheField>
    <cacheField name="Last Name" numFmtId="0">
      <sharedItems containsBlank="1"/>
    </cacheField>
    <cacheField name="Email" numFmtId="0">
      <sharedItems containsBlank="1"/>
    </cacheField>
    <cacheField name="Company" numFmtId="0">
      <sharedItems containsBlank="1"/>
    </cacheField>
    <cacheField name="Owner Id" numFmtId="0">
      <sharedItems containsString="0" containsBlank="1" containsNumber="1" containsInteger="1" minValue="536770" maxValue="699632"/>
    </cacheField>
    <cacheField name="First Name2" numFmtId="0">
      <sharedItems containsBlank="1"/>
    </cacheField>
    <cacheField name="Last Name2" numFmtId="0">
      <sharedItems containsBlank="1"/>
    </cacheField>
    <cacheField name="Email2" numFmtId="0">
      <sharedItems containsBlank="1"/>
    </cacheField>
    <cacheField name="Company2" numFmtId="0">
      <sharedItems containsBlank="1" count="584">
        <s v="Pacific Silver"/>
        <s v="Pacific Gold"/>
        <s v="ThinkHR Sales Demo"/>
        <m/>
        <s v="Zinc Platform, Inc." u="1"/>
        <s v="Jennifer Fisher Jewelry" u="1"/>
        <s v="Fair Care Labs, LLC" u="1"/>
        <s v="Baker" u="1"/>
        <s v="Mindsize" u="1"/>
        <s v="NoHo Holdings LLC" u="1"/>
        <s v="VREAL INC" u="1"/>
        <s v="Healthify" u="1"/>
        <s v="Drive Sally" u="1"/>
        <s v="Rocket Code, LLC" u="1"/>
        <s v="DishOut" u="1"/>
        <s v="APHID Industries, LLC" u="1"/>
        <s v="Surgo Group" u="1"/>
        <s v="Greatist" u="1"/>
        <s v="Spectrum Kitchens" u="1"/>
        <s v="Giant Spoon LLC" u="1"/>
        <s v="MARKET SHARE BRANDS INC" u="1"/>
        <s v="Philanthropy West Virginia" u="1"/>
        <s v="Morahan Arts and Media LLC" u="1"/>
        <s v="Safe Passage Project" u="1"/>
        <s v="LEVY &amp; COMPANY, LLP" u="1"/>
        <s v="Onpoint Intelligence" u="1"/>
        <s v="Blue Drop" u="1"/>
        <s v="Hamlyn Williams" u="1"/>
        <s v="Instinctive" u="1"/>
        <s v="Sir Kensington's" u="1"/>
        <s v="Sanctuary Computer Inc" u="1"/>
        <s v="Frame.io" u="1"/>
        <s v="THINKBASIC INC" u="1"/>
        <s v="NS1" u="1"/>
        <s v="Integrated Data Technology, Inc." u="1"/>
        <s v="ROKT CORP" u="1"/>
        <s v="BFA LA LLC" u="1"/>
        <s v="FCTRY" u="1"/>
        <s v="Teridion" u="1"/>
        <s v="TradeWind" u="1"/>
        <s v="VOYlegal LLC" u="1"/>
        <s v="Arsenic, Inc" u="1"/>
        <s v="CURFEW" u="1"/>
        <s v="Revere" u="1"/>
        <s v="TechNYC" u="1"/>
        <s v="Engine23" u="1"/>
        <s v="Type/Code" u="1"/>
        <s v="MUN" u="1"/>
        <s v="Sawyer Effect LLC" u="1"/>
        <s v="Ticket Monster" u="1"/>
        <s v="Pacifica Labs Inc." u="1"/>
        <s v="Zola, Inc." u="1"/>
        <s v="Style House PR" u="1"/>
        <s v="MRB Research Partners, Inc." u="1"/>
        <s v="Little Star Media Inc" u="1"/>
        <s v="Journey Meditation" u="1"/>
        <s v="American Whatever LLC" u="1"/>
        <s v="Haymaker Group" u="1"/>
        <s v="Eventige Media Group" u="1"/>
        <s v="Motivate Design LLC" u="1"/>
        <s v="TheGuarantors" u="1"/>
        <s v="Science, Language and Arts" u="1"/>
        <s v="Mapillary" u="1"/>
        <s v="Bombfell" u="1"/>
        <s v="Anchor Worldwide" u="1"/>
        <s v="CloserIQ" u="1"/>
        <s v="Bowery Capital Management LLC" u="1"/>
        <s v="Empire Search Partners" u="1"/>
        <s v="Arterial LLC" u="1"/>
        <s v="Play Nice, LLC" u="1"/>
        <s v="Fund That Flip, Inc." u="1"/>
        <s v="letgo" u="1"/>
        <s v="JumpCrew" u="1"/>
        <s v="SHIFT44" u="1"/>
        <s v="Altman Advisors" u="1"/>
        <s v="iPullRank" u="1"/>
        <s v="Stout Heart" u="1"/>
        <s v="EYE Corp Media" u="1"/>
        <s v="Boston Omaha Corporation" u="1"/>
        <s v="Derris" u="1"/>
        <s v="Capital Books and Wellness" u="1"/>
        <s v="Lingo Live" u="1"/>
        <s v="F8 Consulting" u="1"/>
        <s v="Quidd, Inc." u="1"/>
        <s v="Inbox Health Corp." u="1"/>
        <s v="Clarity PR Inc" u="1"/>
        <s v="Big Human" u="1"/>
        <s v="Northside Media" u="1"/>
        <s v="Red/Green, Inc." u="1"/>
        <s v="Small Girls PR" u="1"/>
        <s v="Thirstie" u="1"/>
        <s v="Qubed, Inc." u="1"/>
        <s v="Grapeseed Media" u="1"/>
        <s v="Hicks Technology Services, Inc." u="1"/>
        <s v="Markable, Inc." u="1"/>
        <s v="Faherty Brand Newport Beach LLC" u="1"/>
        <s v="Plan Rocket Consulting, LLC" u="1"/>
        <s v="Mednet, Inc." u="1"/>
        <s v="Forever Beta" u="1"/>
        <s v="ProgrammAddict" u="1"/>
        <s v="Third Party Technologies Inc." u="1"/>
        <s v="Work-Bench" u="1"/>
        <s v="City Physical Therapy, PC" u="1"/>
        <s v="Freedom Security Alliance" u="1"/>
        <s v="Uncubed" u="1"/>
        <s v="Sandra Davis LLC" u="1"/>
        <s v="Paper Tiger Marketing LLC" u="1"/>
        <s v="Kambria Foundation" u="1"/>
        <s v="Downtown Music Publishing" u="1"/>
        <s v="Lexpath Technologies" u="1"/>
        <s v="NYC Foundation for Computer Science Education" u="1"/>
        <s v="pulseData" u="1"/>
        <s v="Grey State Apparel LLC" u="1"/>
        <s v="PiperWai LLC" u="1"/>
        <s v="Nowsta, Inc." u="1"/>
        <s v="Springfield Capital Management LLC" u="1"/>
        <s v="Surface Media LLC" u="1"/>
        <s v="Encore Renewable Energy" u="1"/>
        <s v="Branching Minds" u="1"/>
        <s v="Nomad" u="1"/>
        <s v="Hopscotch" u="1"/>
        <s v="Mossio" u="1"/>
        <s v="Marchesa Holdings LLC" u="1"/>
        <s v="Bedly Inc" u="1"/>
        <s v="Shared Studios" u="1"/>
        <s v="FortyAU" u="1"/>
        <s v="SNOWE" u="1"/>
        <s v="Invoer" u="1"/>
        <s v="UpBuild" u="1"/>
        <s v="Fractured Atlas" u="1"/>
        <s v="Grailed, Inc" u="1"/>
        <s v="gans studio: architecture PLLC" u="1"/>
        <s v="Polestar" u="1"/>
        <s v="Moey, Inc." u="1"/>
        <s v="Indigo Capital Advisors" u="1"/>
        <s v="Brune Law P.C." u="1"/>
        <s v="DeepCrawl Inc" u="1"/>
        <s v="Aqueducts Consulting, LLC" u="1"/>
        <s v="Sammich Shop, Inc." u="1"/>
        <s v="Beeper Medical Group, P.C." u="1"/>
        <s v="Slade Architecture" u="1"/>
        <s v="Decorative Things LLC" u="1"/>
        <s v="IDG Capital Management (DE) LLC" u="1"/>
        <s v="Green Blender, Inc." u="1"/>
        <s v="Open Systems of Switzerland, Ltd." u="1"/>
        <s v="Med School Tutors" u="1"/>
        <s v="spoiled Media" u="1"/>
        <s v="INVISR" u="1"/>
        <s v="The Yard" u="1"/>
        <s v="BollyX Inc." u="1"/>
        <s v="Lemonade Creative" u="1"/>
        <s v="Helix Sleep Inc." u="1"/>
        <s v="Jetaport" u="1"/>
        <s v="FANCHEST" u="1"/>
        <s v="JLC &amp; Associates" u="1"/>
        <s v="Monegraph, Inc." u="1"/>
        <s v="Scripto Enterprises" u="1"/>
        <s v="RetSKU" u="1"/>
        <s v="The Accountkeepers" u="1"/>
        <s v="Center for Cognitive Therapy and Assessment" u="1"/>
        <s v="Museum Hack" u="1"/>
        <s v="Otto Radio, Inc" u="1"/>
        <s v="Barrett Architecture LLC" u="1"/>
        <s v="Jane Smith Agency" u="1"/>
        <s v="GLOBAL TECK WORLDWIDE, INC" u="1"/>
        <s v="D'Apostrophe" u="1"/>
        <s v="Visual Goodness, Inc." u="1"/>
        <s v="BURROW, INC." u="1"/>
        <s v="LaunchSource Inc." u="1"/>
        <s v="Oculus Health" u="1"/>
        <s v="Acuity Scheduling, Inc." u="1"/>
        <s v="Blueprint Research Group" u="1"/>
        <s v="Lightmatter" u="1"/>
        <s v="IVY" u="1"/>
        <s v="BFA NYC LLC" u="1"/>
        <s v="Exo Inc." u="1"/>
        <s v="Freedom Information Technology Solutions" u="1"/>
        <s v="Depop" u="1"/>
        <s v="Spirited Media, Inc" u="1"/>
        <s v="ULTRATA, LLC" u="1"/>
        <s v="Pai Orthodontics PLLC" u="1"/>
        <s v="instadeal Inc." u="1"/>
        <s v="Prattle" u="1"/>
        <s v="Tattly" u="1"/>
        <s v="Imprint Projects" u="1"/>
        <s v="Advomatic" u="1"/>
        <s v="SCPS" u="1"/>
        <s v="Avalon Suites LLC" u="1"/>
        <s v="Quickframe Inc" u="1"/>
        <s v="Imprint" u="1"/>
        <s v="Hyper Island" u="1"/>
        <s v="Adolescent, inc" u="1"/>
        <s v="Loyalkaspar" u="1"/>
        <s v="Two Franks Holdings, LLC" u="1"/>
        <s v="Resident360" u="1"/>
        <s v="P.S. 260, Inc." u="1"/>
        <s v="International Center for Law &amp; Economics" u="1"/>
        <s v="Field to Market" u="1"/>
        <s v="DaisyBill" u="1"/>
        <s v="The Computer Guy" u="1"/>
        <s v="Scentbird" u="1"/>
        <s v="Savvy Apps" u="1"/>
        <s v="Transco Claims Services, Inc." u="1"/>
        <s v="Moving Analytics" u="1"/>
        <s v="Gimlet Media" u="1"/>
        <s v="Skaled Consulting" u="1"/>
        <s v="AdvisorEngine Inc" u="1"/>
        <s v="BeerMenus" u="1"/>
        <s v="The Smilist Dental" u="1"/>
        <s v="Truffle Pig, LLC" u="1"/>
        <s v="Bytemark, Inc." u="1"/>
        <s v="GRIND-VSP LLC" u="1"/>
        <s v="Mindmaven" u="1"/>
        <s v="Enroll My Group.com" u="1"/>
        <s v="Tictail" u="1"/>
        <s v="Nice Soft T-shirt" u="1"/>
        <s v="Nvstr Technologies LLC" u="1"/>
        <s v="HYPR CORP" u="1"/>
        <s v="Cheddar Inc" u="1"/>
        <s v="FindShadow, PBC" u="1"/>
        <s v="THINX Inc." u="1"/>
        <s v="VH1 Save The Music Foundation" u="1"/>
        <s v="Cylera" u="1"/>
        <s v="Sarankco, LLC" u="1"/>
        <s v="The Tyler Clementi Foundation" u="1"/>
        <s v="SprezzaBox Inc." u="1"/>
        <s v="VenueBook" u="1"/>
        <s v="SelfMadeMe, Inc." u="1"/>
        <s v="Inamoto &amp; Co" u="1"/>
        <s v="StreamSets, Inc" u="1"/>
        <s v="LitCharts LLC" u="1"/>
        <s v="Spacious" u="1"/>
        <s v="Man Repeller LLC" u="1"/>
        <s v="The Publisher Desk" u="1"/>
        <s v="In Our Backyards, Inc." u="1"/>
        <s v="Gamer Sensei" u="1"/>
        <s v="NanoMedical Systems, Inc." u="1"/>
        <s v="NationSwell" u="1"/>
        <s v="Toaster Inc" u="1"/>
        <s v="Contactengine Inc" u="1"/>
        <s v="GlobalWebIndex Inc" u="1"/>
        <s v="Piece &amp; Co" u="1"/>
        <s v="goTenna" u="1"/>
        <s v="ConvertKit" u="1"/>
        <s v="Whitman Insight Strategies, LLC" u="1"/>
        <s v="Smart AdServer" u="1"/>
        <s v="Blackbird" u="1"/>
        <s v="Vital Score" u="1"/>
        <s v="RockPaperRobot Inc." u="1"/>
        <s v="Baby Doctor, Inc." u="1"/>
        <s v="Franklyn LLC" u="1"/>
        <s v="Olive Tree Ventures, Inc." u="1"/>
        <s v="Health Hero, Inc" u="1"/>
        <s v="MOGUL" u="1"/>
        <s v="Just Interpretation LLC" u="1"/>
        <s v="Tweed Wolf" u="1"/>
        <s v="Streamable" u="1"/>
        <s v="Capsule Corporation" u="1"/>
        <s v="The Paris Review Foundation" u="1"/>
        <s v="AlwaysHired" u="1"/>
        <s v="Carmichael Psychology" u="1"/>
        <s v="MODX Systems, LLC" u="1"/>
        <s v="Slanted Studios" u="1"/>
        <s v="Captify" u="1"/>
        <s v="Rex Architecture" u="1"/>
        <s v="Swift Kick" u="1"/>
        <s v="RXM Creative" u="1"/>
        <s v="Indigo Design LLC." u="1"/>
        <s v="Vente Privee USA Brands Inc." u="1"/>
        <s v="Hunt &amp; Gather Inc" u="1"/>
        <s v="Beekeeper Marketing, Inc." u="1"/>
        <s v="Wingo, Inc." u="1"/>
        <s v="Summus Global" u="1"/>
        <s v="Kinexon Sports &amp; Media Inc." u="1"/>
        <s v="FORCE Therapeutics, LLC" u="1"/>
        <s v="Radish Lab" u="1"/>
        <s v="Wide Eye Creative" u="1"/>
        <s v="Aaron Halegua Consulting" u="1"/>
        <s v="Campus Properties LLC" u="1"/>
        <s v="Stocktwits" u="1"/>
        <s v="NewsWhip US Inc." u="1"/>
        <s v="Civic Hall" u="1"/>
        <s v="Fleet Logistics, Inc" u="1"/>
        <s v="JustFix.nyc" u="1"/>
        <s v="Ethis Communications" u="1"/>
        <s v="Fullsix, Inc." u="1"/>
        <s v="CommonWise Education, INC" u="1"/>
        <s v="IWD NY" u="1"/>
        <s v="The Medici Group" u="1"/>
        <s v="Uplevel Security" u="1"/>
        <s v="Wellth, Inc." u="1"/>
        <s v="Envisagenics, Inc." u="1"/>
        <s v="HowGood" u="1"/>
        <s v="Major League Hacking, Inc" u="1"/>
        <s v="JustWorks, Inc." u="1"/>
        <s v="Rise Operations, Inc." u="1"/>
        <s v="Metaverse Entertainment LLC" u="1"/>
        <s v="Glow Concept LLC" u="1"/>
        <s v="War on the Rocks" u="1"/>
        <s v="Calavista Systems, Inc" u="1"/>
        <s v="Ocrolus, Inc." u="1"/>
        <s v="SwipeSense" u="1"/>
        <s v="Heyday" u="1"/>
        <s v="Agility IO" u="1"/>
        <s v="School House" u="1"/>
        <s v="Ultrabland Inc" u="1"/>
        <s v="Venwise" u="1"/>
        <s v="Media Staffing" u="1"/>
        <s v="GrandArmy" u="1"/>
        <s v="Cadre, Inc." u="1"/>
        <s v="Initiate Care Resources" u="1"/>
        <s v="JRSK Inc dba Away" u="1"/>
        <s v="BlocPower" u="1"/>
        <s v="Sarani, Inc." u="1"/>
        <s v="CreativeMornings" u="1"/>
        <s v="Tanooki Labs" u="1"/>
        <s v="Fizzics Group" u="1"/>
        <s v="Mented Cosmetics" u="1"/>
        <s v="MedCircle Inc" u="1"/>
        <s v="Updater, Inc." u="1"/>
        <s v="Civic Hall Labs, Inc." u="1"/>
        <s v="COLLINS" u="1"/>
        <s v="Allegra Kochman Architecture" u="1"/>
        <s v="Payability" u="1"/>
        <s v="Crossbeat New York LLC" u="1"/>
        <s v="Digital Space Studio, Inc." u="1"/>
        <s v="Net Theory Inc" u="1"/>
        <s v="Emerson Stone" u="1"/>
        <s v="LUCY TUPU LLC" u="1"/>
        <s v="Digital Pavilion Electronics" u="1"/>
        <s v="Sports Medicine at Chelsea" u="1"/>
        <s v="Qubit Inc" u="1"/>
        <s v="PromoSuite" u="1"/>
        <s v="CaterCow Inc." u="1"/>
        <s v="Eddie Davis DPM PLLC" u="1"/>
        <s v="BillFixers, LLC" u="1"/>
        <s v="Voray" u="1"/>
        <s v="Yapp, Inc." u="1"/>
        <s v="Apple Capital Group, Inc." u="1"/>
        <s v="New York City Urban Debate League" u="1"/>
        <s v="REX Computing" u="1"/>
        <s v="BeneStream" u="1"/>
        <s v="Orion Technology Consulting, LLC" u="1"/>
        <s v="Virtual Health" u="1"/>
        <s v="New Media Advocacy Project" u="1"/>
        <s v="Adam David Schaffner, M.D., P.L.L.C. dba Plastic Surgery Institute of New York" u="1"/>
        <s v="Kill Screen Media Inc." u="1"/>
        <s v="Evolution Nature Corp." u="1"/>
        <s v="Forge3, Ltd." u="1"/>
        <s v="BentoBox" u="1"/>
        <s v="ImageThink" u="1"/>
        <s v="Pypestream" u="1"/>
        <s v="CartoDB Inc." u="1"/>
        <s v="ROLI USA INC" u="1"/>
        <s v="JUST Capital" u="1"/>
        <s v="Armed Mind Inc." u="1"/>
        <s v="Vale Insurance Partners, LLC" u="1"/>
        <s v="Backtrace I/O" u="1"/>
        <s v="RSE Markets, Inc." u="1"/>
        <s v="P1 Capital LLC" u="1"/>
        <s v="Atlas Practice Management" u="1"/>
        <s v="Trail of Bits" u="1"/>
        <s v="Engine Digital" u="1"/>
        <s v="Seed Communications LLC dba Sub Rosa" u="1"/>
        <s v="Nexhealth" u="1"/>
        <s v="ReKTGlobal, Inc." u="1"/>
        <s v="BoardRounds, Inc." u="1"/>
        <s v="FounderTherapy" u="1"/>
        <s v="Anivive Lifesciences, Inc." u="1"/>
        <s v="sambelsky.com" u="1"/>
        <s v="The (A)Lyst Group, LLC" u="1"/>
        <s v="Western NRG, Inc." u="1"/>
        <s v="Ailanthus Capital Management, LP" u="1"/>
        <s v="Bennett Midland" u="1"/>
        <s v="Katon Direct" u="1"/>
        <s v="Modern Mast Corporation" u="1"/>
        <s v="Synpulse USA Inc." u="1"/>
        <s v="Sawhorse Media, LLC" u="1"/>
        <s v="Solid and Striped" u="1"/>
        <s v="Smartling" u="1"/>
        <s v="ReactiveOps, Inc." u="1"/>
        <s v="Driftaway Coffee" u="1"/>
        <s v="York and Chapel" u="1"/>
        <s v="Onsite Project Consulting, LLC" u="1"/>
        <s v="Shillington School" u="1"/>
        <s v="Koneksa Health" u="1"/>
        <s v="Radiant Skin Dermatology and Laser" u="1"/>
        <s v="Sea to Table" u="1"/>
        <s v="Katal Center for Health, Equity, and Justice" u="1"/>
        <s v="FC Languages Inc" u="1"/>
        <s v="Health Platforms, Inc." u="1"/>
        <s v="Renovata Partners" u="1"/>
        <s v="Agents of Efficiency, Inc." u="1"/>
        <s v="Precision Nutrition" u="1"/>
        <s v="Eighty2degrees LLC" u="1"/>
        <s v="The Smilist Management" u="1"/>
        <s v="AD60 Agency LLC" u="1"/>
        <s v="Cindat USA LLC" u="1"/>
        <s v="Packlane" u="1"/>
        <s v="The Expert Institute" u="1"/>
        <s v="A24 Studios" u="1"/>
        <s v="Chelsea Eye Ophthalmology, PLLC" u="1"/>
        <s v="Chango &amp; Co." u="1"/>
        <s v="Post Social, Inc." u="1"/>
        <s v="Manhattan Physio Group" u="1"/>
        <s v="Luminopia" u="1"/>
        <s v="Ruby Together" u="1"/>
        <s v="Elite Media LLC" u="1"/>
        <s v="Emissary" u="1"/>
        <s v="Impraise Inc" u="1"/>
        <s v="Mercato.com" u="1"/>
        <s v="Baremetrics" u="1"/>
        <s v="Sideways, Inc." u="1"/>
        <s v="Asymptote Architecture" u="1"/>
        <s v="PayLoadz Inc" u="1"/>
        <s v="Foundershield LLC" u="1"/>
        <s v="Sadick Dermatology" u="1"/>
        <s v="Resnicow and Associates Inc." u="1"/>
        <s v="Capodagli Property Company" u="1"/>
        <s v="SureDone" u="1"/>
        <s v="Longneck &amp; Thunderfoot, LLC" u="1"/>
        <s v="SeamlessDocs" u="1"/>
        <s v="goei group" u="1"/>
        <s v="Your Tech Team" u="1"/>
        <s v="Frankly Media" u="1"/>
        <s v="KPP Management LLC" u="1"/>
        <s v="Transcend" u="1"/>
        <s v="Kite Hill PR LLC" u="1"/>
        <s v="Elegant Themes Inc." u="1"/>
        <s v="Opportunity Network North America LLC" u="1"/>
        <s v="Catapult Ideas" u="1"/>
        <s v="Grade A Design" u="1"/>
        <s v="The Pekoe Group" u="1"/>
        <s v="Maslow, Inc." u="1"/>
        <s v="Monaeo, Inc." u="1"/>
        <s v="SimpleTiger LLC" u="1"/>
        <s v="Big Idea Technology LLC" u="1"/>
        <s v="Office of Baby LLC" u="1"/>
        <s v="Aristone Capital LLC" u="1"/>
        <s v="Friends" u="1"/>
        <s v="S Russell Groves" u="1"/>
        <s v="Bar &amp; Club Statistics, Inc." u="1"/>
        <s v="SubPac Inc." u="1"/>
        <s v="Kalki Consulting LLC" u="1"/>
        <s v="Christine Courtney Communications, Inc. DBA C3 Agency" u="1"/>
        <s v="Bridge Street Development Corporation" u="1"/>
        <s v="Plotly US Inc" u="1"/>
        <s v="Kustomer, Inc." u="1"/>
        <s v="Remedy Analytics, Inc." u="1"/>
        <s v="Meridia Living" u="1"/>
        <s v="The 86 Company" u="1"/>
        <s v="Green Schools Alliance" u="1"/>
        <s v="Beachhead Capital" u="1"/>
        <s v="ThirdPartyTrust" u="1"/>
        <s v="Yosi Samra" u="1"/>
        <s v="uFO Development Group" u="1"/>
        <s v="Winky&amp;Dutch, Inc." u="1"/>
        <s v="Mailjet" u="1"/>
        <s v="Exemine" u="1"/>
        <s v="Parachute" u="1"/>
        <s v="DiversyFund, Inc." u="1"/>
        <s v="Thrive Global" u="1"/>
        <s v="GenR Media Consultants LLC" u="1"/>
        <s v="Physicians Weight Control, LLC" u="1"/>
        <s v="A2IM" u="1"/>
        <s v="Daybreaker LLC" u="1"/>
        <s v="Tamara Mellon Brand Inc." u="1"/>
        <s v="Origin Solar LLC" u="1"/>
        <s v="EV-Box" u="1"/>
        <s v="TUSK Inc" u="1"/>
        <s v="Packet Host, Inc" u="1"/>
        <s v="Red Antler" u="1"/>
        <s v="P1 Analytics Inc." u="1"/>
        <s v="Revel Partners LLC" u="1"/>
        <s v="JCL Design" u="1"/>
        <s v="Codesters, Inc." u="1"/>
        <s v="Langate Managed Services LLC" u="1"/>
        <s v="MyCheck, LLC" u="1"/>
        <s v="Paper Cavalier" u="1"/>
        <s v="App Partner LLC" u="1"/>
        <s v="Nomad Financial" u="1"/>
        <s v="Nexstara" u="1"/>
        <s v="Ruane Attorneys" u="1"/>
        <s v="Lucas Jacobson Inc" u="1"/>
        <s v="Dendrite Corporation" u="1"/>
        <s v="Cognitive Code" u="1"/>
        <s v="Doctors of the World USA" u="1"/>
        <s v="Kickpay" u="1"/>
        <s v="Datavore Labs" u="1"/>
        <s v="Monica Vinader" u="1"/>
        <s v="Decusoft" u="1"/>
        <s v="Green Light Expediting LLC" u="1"/>
        <s v="Village Marketing" u="1"/>
        <s v="Evolving Media Network" u="1"/>
        <s v="Hopeland" u="1"/>
        <s v="Visify" u="1"/>
        <s v="Itemize Corp." u="1"/>
        <s v="Clay Art Center, Inc." u="1"/>
        <s v="SevenFifty Technologies, Inc." u="1"/>
        <s v="www.centerity.com" u="1"/>
        <s v="Speed Digital" u="1"/>
        <s v="Fancy Pants Group" u="1"/>
        <s v="Skeleton Key" u="1"/>
        <s v="Desktop Genetics Inc." u="1"/>
        <s v="VISION BI INC" u="1"/>
        <s v="Cowboy Bear Ninja" u="1"/>
        <s v="Roeder Studios" u="1"/>
        <s v="Kyle House Group LLC" u="1"/>
        <s v="Pear Deck" u="1"/>
        <s v="GeistM" u="1"/>
        <s v="Latch" u="1"/>
        <s v="MealPal" u="1"/>
        <s v="The Next Seed Inc." u="1"/>
        <s v="The Apartment Service Ltd" u="1"/>
        <s v="SOLMade, Inc." u="1"/>
        <s v="RL &amp; Associates" u="1"/>
        <s v="Highfield" u="1"/>
        <s v="Haynes &amp; Company, Inc." u="1"/>
        <s v="Signal Sciences" u="1"/>
        <s v="Giant Otter Technologies, Inc." u="1"/>
        <s v="Noi Solutions LLC" u="1"/>
        <s v="Someecards" u="1"/>
        <s v="Smiota" u="1"/>
        <s v="Aiuto" u="1"/>
        <s v="Midpoint Trade Books" u="1"/>
        <s v="L18 Holdings" u="1"/>
        <s v="TheSquareFoot" u="1"/>
        <s v="Kobu Beverages, LLC (dba Kombrewcha)" u="1"/>
        <s v="Sched" u="1"/>
        <s v="Code to Work" u="1"/>
        <s v="Text IQ" u="1"/>
        <s v="Slope.io, Inc." u="1"/>
        <s v="NoAppFee.com, Inc." u="1"/>
        <s v="Because of Them We Can LLC" u="1"/>
        <s v="East Coast Digital, Inc." u="1"/>
        <s v="Boomtown CIO" u="1"/>
        <s v="Leopard Solutions" u="1"/>
        <s v="Croscon" u="1"/>
        <s v="3P Learning Inc" u="1"/>
        <s v="Secure by Design Inc" u="1"/>
        <s v="Muse Paintbar, LLC" u="1"/>
        <s v="Whole Whale" u="1"/>
        <s v="LoadSmart, Inc." u="1"/>
        <s v="Compstak.com" u="1"/>
        <s v="Practice Marketing, Inc." u="1"/>
        <s v="Delphi Engineering Group, Inc." u="1"/>
        <s v="Minds On Design Lab Inc." u="1"/>
        <s v="NYSD INC." u="1"/>
        <s v="Vettery" u="1"/>
        <s v="CEU Paymaster LLC" u="1"/>
        <s v="Locke Careers, Inc." u="1"/>
        <s v="Rhone" u="1"/>
        <s v="STUDIOCASE LLC" u="1"/>
        <s v="Intellishore Corporation" u="1"/>
        <s v="Mary Nittolo INc. dba The Studio" u="1"/>
        <s v="ALTERATIONS NYC" u="1"/>
        <s v="BlockApps, Inc." u="1"/>
        <s v="IQ Logic" u="1"/>
        <s v="fuboTV, Inc" u="1"/>
        <s v="BLUE TELESCOPE" u="1"/>
        <s v="Turings Craft, Inc." u="1"/>
        <s v="Foodstand" u="1"/>
        <s v="Axios Media Inc." u="1"/>
        <s v="Castle Digital Partners" u="1"/>
        <s v="5 Boroughs Brewery Inc." u="1"/>
        <s v="National Domestic Workers Alliance" u="1"/>
        <s v="SMA Rail Consulting + IT, Corp." u="1"/>
        <s v="Metric Digital LLC" u="1"/>
        <s v="SaleMove" u="1"/>
        <s v="Alyk, Inc." u="1"/>
        <s v="Food Blogger Pro" u="1"/>
        <s v="Casper Sleep" u="1"/>
        <s v="Freenome Inc." u="1"/>
        <s v="Pomsg AI, Inc." u="1"/>
        <s v="Freethink Media, Inc." u="1"/>
        <s v="Spatial Systems, Inc" u="1"/>
        <s v="Run For America" u="1"/>
        <s v="The Nantucket Project, LLC" u="1"/>
        <s v="Fueled Digital Media, LLC" u="1"/>
        <s v="Goins Enterprises" u="1"/>
        <s v="WayUp, Inc." u="1"/>
        <s v="AREA 17" u="1"/>
        <s v="Cache Ventures" u="1"/>
        <s v="The Thomas Collective" u="1"/>
      </sharedItems>
    </cacheField>
    <cacheField name="Category" numFmtId="0">
      <sharedItems containsBlank="1" count="12">
        <s v="Other"/>
        <s v="Compliance"/>
        <s v="Employee Benefits"/>
        <s v="Recruiting and Hiring"/>
        <m/>
        <s v="Customer Success" u="1"/>
        <s v="Leaves of Absence" u="1"/>
        <s v="Terminations" u="1"/>
        <s v="Compensation" u="1"/>
        <s v="Customer Support" u="1"/>
        <s v="Employee Management" u="1"/>
        <s v="Safety" u="1"/>
      </sharedItems>
    </cacheField>
    <cacheField name="Status" numFmtId="0">
      <sharedItems containsBlank="1" count="3">
        <s v="closed"/>
        <s v="cancel"/>
        <m/>
      </sharedItems>
    </cacheField>
    <cacheField name="Created" numFmtId="0">
      <sharedItems containsNonDate="0" containsDate="1" containsString="0" containsBlank="1" minDate="2018-04-23T00:00:00" maxDate="2018-08-21T00:00:00"/>
    </cacheField>
    <cacheField name="Responses"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in R. Smith-Gilbert" refreshedDate="43376.517567361108" createdVersion="6" refreshedVersion="6" minRefreshableVersion="3" recordCount="26813" xr:uid="{86B29105-8B22-4C01-A7B8-B6235A23F8A5}">
  <cacheSource type="worksheet">
    <worksheetSource name="=companies"/>
  </cacheSource>
  <cacheFields count="21">
    <cacheField name="Id" numFmtId="1">
      <sharedItems containsString="0" containsBlank="1" containsNumber="1" containsInteger="1" minValue="253433" maxValue="317407"/>
    </cacheField>
    <cacheField name="Name" numFmtId="0">
      <sharedItems containsBlank="1" count="3661">
        <s v="Pacific Bronze"/>
        <s v="Pacific Silver"/>
        <s v="Pacific Gold"/>
        <s v="Pacific, Inc."/>
        <s v="Great Balls of Fire"/>
        <s v="Hound Dog"/>
        <s v="Johnnie B Good"/>
        <s v="Pacific Platinum"/>
        <s v="Test Contact 1"/>
        <s v="Test Contact 2"/>
        <s v="Bronze Light"/>
        <s v="Blue Suede Shoes"/>
        <m/>
        <s v="Social Impact Capital" u="1"/>
        <s v="Bryter Inc." u="1"/>
        <s v="UXReactor Inc." u="1"/>
        <s v="Croud" u="1"/>
        <s v="Spreemo Health" u="1"/>
        <s v="Next 10 Ventures" u="1"/>
        <s v="Sevenzo" u="1"/>
        <s v="RealConnex LLC" u="1"/>
        <s v="Ten Thousand Inc." u="1"/>
        <s v="Axis Global Advisory LLC" u="1"/>
        <s v="Amdirent" u="1"/>
        <s v="Soundfly Inc" u="1"/>
        <s v="VeriLedger Systems Inc." u="1"/>
        <s v="High Street Capital Partners" u="1"/>
        <s v="MixLab" u="1"/>
        <s v="Genspace NYC" u="1"/>
        <s v="Foster Consulting Inc" u="1"/>
        <s v="Bloom Credit" u="1"/>
        <s v="mtm choice" u="1"/>
        <s v="Hobo Audio Company" u="1"/>
        <s v="Bender &amp; Associates" u="1"/>
        <s v="Hollender Sustainable Brands, LLC" u="1"/>
        <s v="Mentor Creative Group" u="1"/>
        <s v="Realster" u="1"/>
        <s v="Mr Call Designs" u="1"/>
        <s v="Whitefox Technologies USA Inc" u="1"/>
        <s v="batteryPOP" u="1"/>
        <s v="Micah Walter Studio" u="1"/>
        <s v="Windsor Strategy Partners" u="1"/>
        <s v="Opentrons Labworks Inc" u="1"/>
        <s v="Birddogs" u="1"/>
        <s v="Teca Partners" u="1"/>
        <s v="Zinc Platform, Inc." u="1"/>
        <s v="Standard Bots Company" u="1"/>
        <s v="Steval Consulting, Inc." u="1"/>
        <s v="Serengeti Asset Management LP" u="1"/>
        <s v="Athletics LLC" u="1"/>
        <s v="Ordway Labs" u="1"/>
        <s v="Blunt USA INC" u="1"/>
        <s v="Integritas, LLC" u="1"/>
        <s v="This Also, Inc." u="1"/>
        <s v="Robertson Stephens Wealth Management LLC" u="1"/>
        <s v="Jennifer Fisher Jewelry" u="1"/>
        <s v="Generator Media and Analytics, Inc." u="1"/>
        <s v="45RPM LLC" u="1"/>
        <s v="SponsorPitch" u="1"/>
        <s v="Smalls for Smalls" u="1"/>
        <s v="Nephron Research LLC" u="1"/>
        <s v="Shoppable.com" u="1"/>
        <s v="Dubsmash" u="1"/>
        <s v="Athlon NY LLC" u="1"/>
        <s v="Partner in Publishing" u="1"/>
        <s v="Science Friday" u="1"/>
        <s v="Fair Care Labs, LLC" u="1"/>
        <s v="Fitwar Systems llc" u="1"/>
        <s v="Mehta Advisory Partners" u="1"/>
        <s v="Dovetale" u="1"/>
        <s v="Donut" u="1"/>
        <s v="Part and Sum" u="1"/>
        <s v="Neomantra Corp" u="1"/>
        <s v="Thrive Capital Management, LLC" u="1"/>
        <s v="Baker" u="1"/>
        <s v="Mindsize" u="1"/>
        <s v="Scorely Inc." u="1"/>
        <s v="NoHo Holdings LLC" u="1"/>
        <s v="DeepMacro" u="1"/>
        <s v="Target ALS Foundation, Inc." u="1"/>
        <s v="Encentrix, LLC" u="1"/>
        <s v="Potion" u="1"/>
        <s v="Harry Jho LLC" u="1"/>
        <s v="Canopy Crest Corporation" u="1"/>
        <s v="BlocSide Sports" u="1"/>
        <s v="Ignitro Studios LLC" u="1"/>
        <s v="Railroad Ranch Capital Management LLC" u="1"/>
        <s v="VREAL INC" u="1"/>
        <s v="The Plymouth Group II LLC" u="1"/>
        <s v="Leadfeeder" u="1"/>
        <s v="NoHo Health" u="1"/>
        <s v="Sana Benefits, Inc." u="1"/>
        <s v="Nace Partners LLC" u="1"/>
        <s v="Noble People" u="1"/>
        <s v="Parity Partners LLC" u="1"/>
        <s v="KidGooRoo" u="1"/>
        <s v="Healthify" u="1"/>
        <s v="AGS Trading Services LLC" u="1"/>
        <s v="Lead.com LLC" u="1"/>
        <s v="Modelshop, Inc." u="1"/>
        <s v="Chalk 242" u="1"/>
        <s v="Drive Sally" u="1"/>
        <s v="Rocket Code, LLC" u="1"/>
        <s v="BlackDiamond Wealth Management, Inc." u="1"/>
        <s v="DishOut" u="1"/>
        <s v="Deft Inc" u="1"/>
        <s v="Sutton PR" u="1"/>
        <s v="Qore Performance, Inc." u="1"/>
        <s v="Patrick J Clayton Productions" u="1"/>
        <s v="APHID Industries, LLC" u="1"/>
        <s v="Abaris Financial, Inc." u="1"/>
        <s v="S Nimbus LLC" u="1"/>
        <s v="URL Ventures inc" u="1"/>
        <s v="Blue Bear Capital" u="1"/>
        <s v="Surgo Group" u="1"/>
        <s v="Skylight Engagement" u="1"/>
        <s v="Springfield Funds" u="1"/>
        <s v="DNL OmniMedia, Inc." u="1"/>
        <s v="Greatist" u="1"/>
        <s v="Studio Neue" u="1"/>
        <s v="Tempest Interactive Media, LLC" u="1"/>
        <s v="Infinite Global Consulting Inc." u="1"/>
        <s v="Cinelytic" u="1"/>
        <s v="Withfriends" u="1"/>
        <s v="Red Pill VR, Inc." u="1"/>
        <s v="Spectrum Kitchens" u="1"/>
        <s v="AND CO Ventures Inc" u="1"/>
        <s v="Venture Scout Corp." u="1"/>
        <s v="SwitchPoint Ventures" u="1"/>
        <s v="CP Language Institute" u="1"/>
        <s v="Validus Technology Group LLC" u="1"/>
        <s v="Made Media, Inc" u="1"/>
        <s v="Social Transformation Project" u="1"/>
        <s v="Giant Spoon LLC" u="1"/>
        <s v="Hydrolix Inc" u="1"/>
        <s v="One Six Solutions Inc" u="1"/>
        <s v="Merlin" u="1"/>
        <s v="Acentric" u="1"/>
        <s v="CraftOps" u="1"/>
        <s v="mllnnl LLC" u="1"/>
        <s v="Southampton Press" u="1"/>
        <s v="MARKET SHARE BRANDS INC" u="1"/>
        <s v="AJ Cardona &amp; Company, LLC" u="1"/>
        <s v="Philanthropy West Virginia" u="1"/>
        <s v="Bad Idea, Inc." u="1"/>
        <s v="ArtSnacks LLC" u="1"/>
        <s v="Morahan Arts and Media LLC" u="1"/>
        <s v="Stage Harbor Financial LLC" u="1"/>
        <s v="Glow Financial Services Inc." u="1"/>
        <s v="Made by We" u="1"/>
        <s v="Trust Farm, LLC" u="1"/>
        <s v="Safe Passage Project" u="1"/>
        <s v="New Street Research" u="1"/>
        <s v="LEVY &amp; COMPANY, LLP" u="1"/>
        <s v="ArtHouse Interactive" u="1"/>
        <s v="Onpoint Intelligence" u="1"/>
        <s v="Blue Drop" u="1"/>
        <s v="Bark Technologies Inc" u="1"/>
        <s v="PESALA MEDICAL PLLC" u="1"/>
        <s v="Gale Force Consulting Partners, LLC" u="1"/>
        <s v="CTG Federal" u="1"/>
        <s v="Roseshore LLC" u="1"/>
        <s v="VeriToll, LLC" u="1"/>
        <s v="Roxanne Siegrist DDS" u="1"/>
        <s v="Picasso Labs, Inc" u="1"/>
        <s v="Lost Light Projects dba InsideClimate News" u="1"/>
        <s v="Apollo Men's Health" u="1"/>
        <s v="Sentinel Consulting, LLC" u="1"/>
        <s v="Support Driven" u="1"/>
        <s v="Situation Management Systems, Inc" u="1"/>
        <s v="CyanGate" u="1"/>
        <s v="Scitent Inc." u="1"/>
        <s v="Hamlyn Williams" u="1"/>
        <s v="NexusSelect, LLC." u="1"/>
        <s v="Supermax Technology" u="1"/>
        <s v="stae" u="1"/>
        <s v="OBERLAND Inc." u="1"/>
        <s v="Napali Partners" u="1"/>
        <s v="Sanky Communications Inc." u="1"/>
        <s v="Amasia Group Consulting LLC" u="1"/>
        <s v="House Account" u="1"/>
        <s v="Code Journeymen" u="1"/>
        <s v="Entity Group North America, Inc." u="1"/>
        <s v="AC Lion" u="1"/>
        <s v="Bridgegaptechnologies" u="1"/>
        <s v="American Association for Homecare" u="1"/>
        <s v="DS410 LLC" u="1"/>
        <s v="Instinctive" u="1"/>
        <s v="LEAP Global Partners" u="1"/>
        <s v="Armavel, LLC" u="1"/>
        <s v="Sir Kensington's" u="1"/>
        <s v="Cheapism.com, LLC" u="1"/>
        <s v="Grindflow Management LLC" u="1"/>
        <s v="Parley LLC" u="1"/>
        <s v="Codagami, Inc." u="1"/>
        <s v="SilverLink Funding" u="1"/>
        <s v="BisnowLLC" u="1"/>
        <s v="PiSrc LLC" u="1"/>
        <s v="Maple Media" u="1"/>
        <s v="Sanctuary Computer Inc" u="1"/>
        <s v="Frame.io" u="1"/>
        <s v="verterra" u="1"/>
        <s v="Cooperstock NYC" u="1"/>
        <s v="Guerilla Science, LLC" u="1"/>
        <s v="Rival Group Consulting, LLC" u="1"/>
        <s v="Toymail, Inc" u="1"/>
        <s v="THINKBASIC INC" u="1"/>
        <s v="Frame Technology" u="1"/>
        <s v="Urban Intelligence" u="1"/>
        <s v="Weston Baker Creative Group LLC" u="1"/>
        <s v="Negotiatus" u="1"/>
        <s v="Lon Operations LLC" u="1"/>
        <s v="hOM" u="1"/>
        <s v="CLIENT_249_10" u="1"/>
        <s v="NY Healing, Inc." u="1"/>
        <s v="Veronica Beard California Inc." u="1"/>
        <s v="Tushy LLC" u="1"/>
        <s v="LendingFront" u="1"/>
        <s v="Harbinger Strategy" u="1"/>
        <s v="Pastourelle LLC" u="1"/>
        <s v="Thoughtonomy Inc" u="1"/>
        <s v="NS1" u="1"/>
        <s v="Beryl Nightingale, Phd." u="1"/>
        <s v="Haikoo" u="1"/>
        <s v="NextGenVest" u="1"/>
        <s v="Imagen Technologies, Inc." u="1"/>
        <s v="Trinity Mobile Networks, Inc." u="1"/>
        <s v="NaMaYa Inc" u="1"/>
        <s v="Transmit.live LLC" u="1"/>
        <s v="Pineapple Street Media" u="1"/>
        <s v="Spectrafem" u="1"/>
        <s v="Go Deed Inc" u="1"/>
        <s v="Blix" u="1"/>
        <s v="Integrated Data Technology, Inc." u="1"/>
        <s v="Growth Machine, LLC" u="1"/>
        <s v="TurnTo Networks, Inc." u="1"/>
        <s v="Numina" u="1"/>
        <s v="ROKT CORP" u="1"/>
        <s v="Aperiomics, Inc." u="1"/>
        <s v="Shop Capella LLC" u="1"/>
        <s v="AGENCIE ARCHITECTURE &amp; ENGINEERING PC" u="1"/>
        <s v="MayStreet LLC" u="1"/>
        <s v="Texts.com Inc." u="1"/>
        <s v="Lightning Fruit LC" u="1"/>
        <s v="CRITEEK" u="1"/>
        <s v="Lionpoint Group LLC" u="1"/>
        <s v="Swoonery" u="1"/>
        <s v="S2 Filings, LLC" u="1"/>
        <s v="Quotidian Management LLC" u="1"/>
        <s v="Ahava NA LLC" u="1"/>
        <s v="LeaderFit LLC" u="1"/>
        <s v="Xogene Services LLC" u="1"/>
        <s v="Niraxx Light Therapeutics, Inc." u="1"/>
        <s v="thread" u="1"/>
        <s v="Leveled" u="1"/>
        <s v="BFA LA LLC" u="1"/>
        <s v="Maveriq LLC" u="1"/>
        <s v="Airmed Science, Inc" u="1"/>
        <s v="PlayLive Nation Solano" u="1"/>
        <s v="FCTRY" u="1"/>
        <s v="Teridion" u="1"/>
        <s v="Monday Sessions Media, Inc. dba Live X" u="1"/>
        <s v="Diligex" u="1"/>
        <s v="TradeWind" u="1"/>
        <s v="VOYlegal LLC" u="1"/>
        <s v="Marfeel US LLC" u="1"/>
        <s v="Arsenic, Inc" u="1"/>
        <s v="CURFEW" u="1"/>
        <s v="Revere" u="1"/>
        <s v="TechNYC" u="1"/>
        <s v="Engine23" u="1"/>
        <s v="Type/Code" u="1"/>
        <s v="Porter Labs Inc." u="1"/>
        <s v="App47, Inc." u="1"/>
        <s v="Capital Markets Placement" u="1"/>
        <s v="MUN" u="1"/>
        <s v="Panacea3" u="1"/>
        <s v="Berenson LLP" u="1"/>
        <s v="Cytovia, Inc." u="1"/>
        <s v="Goally Inc." u="1"/>
        <s v="circus street" u="1"/>
        <s v="FutureOn LLC" u="1"/>
        <s v="Grow Labs Inc." u="1"/>
        <s v="Sawyer Effect LLC" u="1"/>
        <s v="Standard Analytics" u="1"/>
        <s v="Ticket Monster" u="1"/>
        <s v="Polyphonic &amp; Co." u="1"/>
        <s v="Vitals Enterprises Inc" u="1"/>
        <s v="Ezuce, inc" u="1"/>
        <s v="CAL" u="1"/>
        <s v="Hyr Inc." u="1"/>
        <s v="Ziggeo, Inc." u="1"/>
        <s v="Agilion" u="1"/>
        <s v="FARMASSURE LLC" u="1"/>
        <s v="Pacifica Labs Inc." u="1"/>
        <s v="MSCO" u="1"/>
        <s v="Zola, Inc." u="1"/>
        <s v="Recurse Center" u="1"/>
        <s v="Simplifeye, Inc." u="1"/>
        <s v="Tillotson Design Associates" u="1"/>
        <s v="IperLane" u="1"/>
        <s v="SkyHi" u="1"/>
        <s v="VisitDays" u="1"/>
        <s v="Falco Ink Corporation" u="1"/>
        <s v="Klaris IP LLC" u="1"/>
        <s v="Music and Strategy LLC" u="1"/>
        <s v="Fan Hub Media USA" u="1"/>
        <s v="Pacific Bay Lending Group" u="1"/>
        <s v="Style House PR" u="1"/>
        <s v="First Principle" u="1"/>
        <s v="Trellis Research, Inc" u="1"/>
        <s v="MRB Research Partners, Inc." u="1"/>
        <s v="Fusion180, LLC" u="1"/>
        <s v="Be Inspired LLC" u="1"/>
        <s v="AdHawk" u="1"/>
        <s v="Drake Partners LLC" u="1"/>
        <s v="Little Star Media Inc" u="1"/>
        <s v="Mercury" u="1"/>
        <s v="Mack Weldon, Inc." u="1"/>
        <s v="Journey Meditation" u="1"/>
        <s v="American Whatever LLC" u="1"/>
        <s v="Canvs" u="1"/>
        <s v="SO IL" u="1"/>
        <s v="Bravely" u="1"/>
        <s v="Haymaker Group" u="1"/>
        <s v="DefinedScope LLC" u="1"/>
        <s v="Faraday, Inc." u="1"/>
        <s v="Betria Interactive" u="1"/>
        <s v="Eventige Media Group" u="1"/>
        <s v="HookBang" u="1"/>
        <s v="99th Avenue Holdings, LLC d/b/a TMPL Gym" u="1"/>
        <s v="Inspiring Capital" u="1"/>
        <s v="Narrative I/O, Inc." u="1"/>
        <s v="Fengate Capital Management (US) Inc." u="1"/>
        <s v="Novus" u="1"/>
        <s v="Mountain Holly Consulting, LLC" u="1"/>
        <s v="Crucial Brands Inc" u="1"/>
        <s v="Motivate Design LLC" u="1"/>
        <s v="Analytical Outcome Partners" u="1"/>
        <s v="inHouse" u="1"/>
        <s v="Quartet" u="1"/>
        <s v="TheGuarantors" u="1"/>
        <s v="GreatHorn Inc." u="1"/>
        <s v="Leftrock Design Inc" u="1"/>
        <s v="Slice" u="1"/>
        <s v="Oxeon Partners" u="1"/>
        <s v="Happyfication" u="1"/>
        <s v="Science, Language and Arts" u="1"/>
        <s v="Zipdrug" u="1"/>
        <s v="Norski Enterprises LLC" u="1"/>
        <s v="BlazingDB" u="1"/>
        <s v="Union Crate" u="1"/>
        <s v="The Vanity Project LLC" u="1"/>
        <s v="Droit Operating Company LLC" u="1"/>
        <s v="DADA Goldberg" u="1"/>
        <s v="1 Second Everyday" u="1"/>
        <s v="Swan Solutions, Inc." u="1"/>
        <s v="Mapillary" u="1"/>
        <s v="HowTo Inc." u="1"/>
        <s v="Feedback Labs" u="1"/>
        <s v="Confetti Collective" u="1"/>
        <s v="Copper Hill Development Inc." u="1"/>
        <s v="Gem" u="1"/>
        <s v="Capsule8" u="1"/>
        <s v="Souls Grown Deep Foundation" u="1"/>
        <s v="Babbel Inc" u="1"/>
        <s v="Ambra Health" u="1"/>
        <s v="DigiFabster, Inc." u="1"/>
        <s v="Blacktop Omnimedia" u="1"/>
        <s v="Bombfell" u="1"/>
        <s v="Anchor Worldwide" u="1"/>
        <s v="StatePoint Media, Inc." u="1"/>
        <s v="dv01, Inc." u="1"/>
        <s v="CloserIQ" u="1"/>
        <s v="SO â€“ IL" u="1"/>
        <s v="Open Progress" u="1"/>
        <s v="Cylindo" u="1"/>
        <s v="Boom Brands LLC" u="1"/>
        <s v="Saffron Ventures" u="1"/>
        <s v="Norisol Ferrari, LLC" u="1"/>
        <s v="FT US Inc" u="1"/>
        <s v="Communiclique, Inc" u="1"/>
        <s v="Bowery Capital Management LLC" u="1"/>
        <s v="SteelCloud LLC" u="1"/>
        <s v="Velocity Growth, Inc." u="1"/>
        <s v="Hotelco International Acquirements, LLC" u="1"/>
        <s v="AlleyCorp" u="1"/>
        <s v="Center for Migration Studies of New York" u="1"/>
        <s v="Empire Search Partners" u="1"/>
        <s v="Qlaborate" u="1"/>
        <s v="Middle Seat" u="1"/>
        <s v="Michael K Chen Architecture" u="1"/>
        <s v="DarwinApps, LLC" u="1"/>
        <s v="Eight Sleep, Inc." u="1"/>
        <s v="Avoriaz" u="1"/>
        <s v="DUMBO Improvement District" u="1"/>
        <s v="FOX KIRSTEN LLC" u="1"/>
        <s v="UberStrategist Inc." u="1"/>
        <s v="JMA Consultants Inc." u="1"/>
        <s v="Diet Coaching, Inc. DBA DukanDiet.com" u="1"/>
        <s v="NUGGS" u="1"/>
        <s v="Arterial LLC" u="1"/>
        <s v="Quantworks, Inc." u="1"/>
        <s v="Local News Now, LLC" u="1"/>
        <s v="Glimmer LLc dba ATLASON" u="1"/>
        <s v="Play Nice, LLC" u="1"/>
        <s v="Nova Concepts, Inc" u="1"/>
        <s v="Fund That Flip, Inc." u="1"/>
        <s v="letgo" u="1"/>
        <s v="Urbanspace - Grand Central" u="1"/>
        <s v="HomeGauge" u="1"/>
        <s v="Chicago Gallery News" u="1"/>
        <s v="Aux Patents" u="1"/>
        <s v="White Harris PLLC" u="1"/>
        <s v="Samada Holdings, Inc." u="1"/>
        <s v="Girl Be Heard Institute" u="1"/>
        <s v="Free Association Partners LLC" u="1"/>
        <s v="Fivesky" u="1"/>
        <s v="Synergy Building Consultants" u="1"/>
        <s v="JumpCrew" u="1"/>
        <s v="CLIENT_249_1" u="1"/>
        <s v="Apartment One" u="1"/>
        <s v="Redivus Health" u="1"/>
        <s v="TimeLooper, Inc." u="1"/>
        <s v="Tatra Solutions Inc." u="1"/>
        <s v="Ninjafish Studios LLC" u="1"/>
        <s v="Texas Standard Oil Operating Company" u="1"/>
        <s v="Exipert Inc" u="1"/>
        <s v="Netherby" u="1"/>
        <s v="WiT Media" u="1"/>
        <s v="Creative Engineering, LLC" u="1"/>
        <s v="TitanHire Inc." u="1"/>
        <s v="SHIFT44" u="1"/>
        <s v="Enabled Data LLC" u="1"/>
        <s v="Cane and Austin LLC" u="1"/>
        <s v="Exponential Creativity Ventures" u="1"/>
        <s v="Asurity Technologies" u="1"/>
        <s v="Savvy Global LLC" u="1"/>
        <s v="Oden Technologies" u="1"/>
        <s v="Excelerate America" u="1"/>
        <s v="Hexagram" u="1"/>
        <s v="BIBLIOTECH EDUCATION INC" u="1"/>
        <s v="Altman Advisors" u="1"/>
        <s v="on the RIALTO  inc" u="1"/>
        <s v="Times Three Clothier, LLC." u="1"/>
        <s v="Madlan, Inc." u="1"/>
        <s v="Spring Moves" u="1"/>
        <s v="BOND Creative Search" u="1"/>
        <s v="NRZ Entertainment LLC" u="1"/>
        <s v="Ascender Studios" u="1"/>
        <s v="Kit" u="1"/>
        <s v="Joinery" u="1"/>
        <s v="adnymics" u="1"/>
        <s v="INTERVOKE" u="1"/>
        <s v="Bienville Capital Management" u="1"/>
        <s v="Cedar Mountain Supply, Inc. DBA Inteleon, Inc." u="1"/>
        <s v="Bear In The Hall" u="1"/>
        <s v="Eigen Technologies" u="1"/>
        <s v="Beterra Health, Inc." u="1"/>
        <s v="Special Operations, LLC" u="1"/>
        <s v="iPullRank" u="1"/>
        <s v="Octoly inc" u="1"/>
        <s v="Stout Heart" u="1"/>
        <s v="Binder Casting" u="1"/>
        <s v="ERISA Consultants" u="1"/>
        <s v="Hooch, Inc." u="1"/>
        <s v="Worldwide101" u="1"/>
        <s v="All American Pets, LLC" u="1"/>
        <s v="Goldstein Capital Corp." u="1"/>
        <s v="BlackBox Group LLC" u="1"/>
        <s v="Global Compass USA LLC" u="1"/>
        <s v="GLOBO Language Solutions LLC" u="1"/>
        <s v="STMM Inc" u="1"/>
        <s v="EYE Corp Media" u="1"/>
        <s v="Boston Omaha Corporation" u="1"/>
        <s v="Madison Avenue Dental Studio" u="1"/>
        <s v="Derris" u="1"/>
        <s v="Miratech" u="1"/>
        <s v="CLIENT_249_11" u="1"/>
        <s v="Aimee Kraft DDS PLLC" u="1"/>
        <s v="Capital Books and Wellness" u="1"/>
        <s v="Consult360" u="1"/>
        <s v="LookThink LLC" u="1"/>
        <s v="Virgent Realty" u="1"/>
        <s v="Blue Truck Studios" u="1"/>
        <s v="Lingo Live" u="1"/>
        <s v="TEFAF New York LLC" u="1"/>
        <s v="Navigator Labs" u="1"/>
        <s v="CLIENT_249_9" u="1"/>
        <s v="AmpliFi" u="1"/>
        <s v="Gaynor Minden, Inc." u="1"/>
        <s v="The 215 Guys" u="1"/>
        <s v="Data Society" u="1"/>
        <s v="F8 Consulting" u="1"/>
        <s v="TrustPath Inc." u="1"/>
        <s v="Bayard Advertising Agency, Inc." u="1"/>
        <s v="Ziel" u="1"/>
        <s v="Stone Conroy LLC" u="1"/>
        <s v="Quidd, Inc." u="1"/>
        <s v="Codecademy" u="1"/>
        <s v="Frank Hirth LLC" u="1"/>
        <s v="Torch Technology" u="1"/>
        <s v="NYCastings" u="1"/>
        <s v="Inbox Health Corp." u="1"/>
        <s v="IAF Consulting, LLC" u="1"/>
        <s v="MSH Labs" u="1"/>
        <s v="SuperHi" u="1"/>
        <s v="Singularity SciTech LLC" u="1"/>
        <s v="KickUp" u="1"/>
        <s v="BlockFi" u="1"/>
        <s v="FIN Digital" u="1"/>
        <s v="CreditIQ" u="1"/>
        <s v="Healthy Business Group llc" u="1"/>
        <s v="TenDelta LLC" u="1"/>
        <s v="VWH Capital Management, LP" u="1"/>
        <s v="Learnmetrics, Inc." u="1"/>
        <s v="Beyond Capital Fund" u="1"/>
        <s v="The Ready Network, LLC" u="1"/>
        <s v="Palo Alto Strategy Group, LLC" u="1"/>
        <s v="Clarity PR Inc" u="1"/>
        <s v="VisionLTC" u="1"/>
        <s v="edynamic LLC" u="1"/>
        <s v="BOW Renewables LLC." u="1"/>
        <s v="Todd Bracher Studio" u="1"/>
        <s v="CLO Virtual Fashion LLC" u="1"/>
        <s v="NC Squared Inc" u="1"/>
        <s v="Spectronn" u="1"/>
        <s v="Decisionlink" u="1"/>
        <s v="Hive Power Engineering LLC" u="1"/>
        <s v="Bayit Home Automation Corp." u="1"/>
        <s v="Better UC" u="1"/>
        <s v="Panda Plates Inc." u="1"/>
        <s v="2908 Eastland Ave." u="1"/>
        <s v="Big Human" u="1"/>
        <s v="Hardbound, Inc" u="1"/>
        <s v="Daniel Wellington" u="1"/>
        <s v="Demo JW" u="1"/>
        <s v="Northside Media" u="1"/>
        <s v="New Resource Solutions, LLC." u="1"/>
        <s v="Aspiris" u="1"/>
        <s v="ThinkEco" u="1"/>
        <s v="The Heart Center" u="1"/>
        <s v="PRIMUS Business Management" u="1"/>
        <s v="International Development Exchange" u="1"/>
        <s v="LeadCrunch" u="1"/>
        <s v="Lately, Inc" u="1"/>
        <s v="Red/Green, Inc." u="1"/>
        <s v="Shepherd Search Group, Inc." u="1"/>
        <s v="Small Girls PR" u="1"/>
        <s v="modern dentistry" u="1"/>
        <s v="Imagine 360 Marketing, Inc." u="1"/>
        <s v="Pedago, LLC" u="1"/>
        <s v="Urban Architectural Initiatives, RA, P.C." u="1"/>
        <s v="ZNO Labs, Inc." u="1"/>
        <s v="Storelli Sports, Inc." u="1"/>
        <s v="Big Island Massage Therapy LLC" u="1"/>
        <s v="Alt Legal, Inc." u="1"/>
        <s v="Spark Wave, LLC" u="1"/>
        <s v="Pico" u="1"/>
        <s v="Thirstie" u="1"/>
        <s v="wnwcapital" u="1"/>
        <s v="Refersion, Inc." u="1"/>
        <s v="Shalom Hartman Institute of North America" u="1"/>
        <s v="Crowdcentric" u="1"/>
        <s v="Image Architects" u="1"/>
        <s v="Inside Sales Solutions FL" u="1"/>
        <s v="Edquity" u="1"/>
        <s v="Semafone Inc." u="1"/>
        <s v="Traction Technology Partners" u="1"/>
        <s v="Olafe" u="1"/>
        <s v="AICC" u="1"/>
        <s v="5th Dimension Consulting Group LLC" u="1"/>
        <s v="My Lola" u="1"/>
        <s v="Veronica Beard Madison Ave LLC" u="1"/>
        <s v="Self Employed, Three Point Strategies" u="1"/>
        <s v="Benebone" u="1"/>
        <s v="DarcMatter" u="1"/>
        <s v="The Fashion Class LLC" u="1"/>
        <s v="Sosu Inc" u="1"/>
        <s v="One Degree Capital, LLC" u="1"/>
        <s v="Park Sports Physical Therapy and Park Slope Occupational Therapy, PLLC" u="1"/>
        <s v="Qubed, Inc." u="1"/>
        <s v="Rolling Press Inc" u="1"/>
        <s v="Foresight Planning &amp; Engineering Services, LLC" u="1"/>
        <s v="Patiently" u="1"/>
        <s v="Reaktiv Studios" u="1"/>
        <s v="Stealthwerk" u="1"/>
        <s v="Hungry Creative Services, Inc." u="1"/>
        <s v="DecentraNet" u="1"/>
        <s v="Matt Mickle Law PC" u="1"/>
        <s v="Circles Learning Labs" u="1"/>
        <s v="Fleet Logistics, Inc." u="1"/>
        <s v="Metcalf Enterprises LLC" u="1"/>
        <s v="Bear's Fruit" u="1"/>
        <s v="Radiator Labs" u="1"/>
        <s v="Sheridan Media" u="1"/>
        <s v="Grapeseed Media" u="1"/>
        <s v="Lorem Technologies" u="1"/>
        <s v="Telesto Digital, LLC" u="1"/>
        <s v="Firebrand Group" u="1"/>
        <s v="The New Company" u="1"/>
        <s v="Jessica Parker Communications" u="1"/>
        <s v="Extraordinary Journeys Inc." u="1"/>
        <s v="LearnLux Inc" u="1"/>
        <s v="Workshop Interiors" u="1"/>
        <s v="Madison Avenue Partners LP" u="1"/>
        <s v="Space Sciences &amp; Engineering, LLC" u="1"/>
        <s v="All County Endodontics" u="1"/>
        <s v="BrandFire" u="1"/>
        <s v="VideoElephant" u="1"/>
        <s v="Geneva Watch Group" u="1"/>
        <s v="Incrementom Consulting" u="1"/>
        <s v="Atelier &amp; Co." u="1"/>
        <s v="Expand Executive Search, Inc." u="1"/>
        <s v="Newser, LLC" u="1"/>
        <s v="Askmos, Inc." u="1"/>
        <s v="Full Circle Home LLC" u="1"/>
        <s v="Noble People LLC" u="1"/>
        <s v="Parc Office" u="1"/>
        <s v="Tranquil Data" u="1"/>
        <s v="Adoni Health Institute" u="1"/>
        <s v="Merlin Guides" u="1"/>
        <s v="Foamspace Corp." u="1"/>
        <s v="Fred &amp; Farid Inc" u="1"/>
        <s v="Triggr Health Inc" u="1"/>
        <s v="Access Bazaar" u="1"/>
        <s v="SOHO Solutions, Inc." u="1"/>
        <s v="MDValuate, Inc." u="1"/>
        <s v="MBJ Consulting" u="1"/>
        <s v="ProtoLink, Inc." u="1"/>
        <s v="AdvisorConnect, Inc." u="1"/>
        <s v="Enchant LLC - Follow Up Boss" u="1"/>
        <s v="Hicks Technology Services, Inc." u="1"/>
        <s v="Markable, Inc." u="1"/>
        <s v="SALT Lending Holdings, Inc." u="1"/>
        <s v="Hester Street Collaborative, Inc" u="1"/>
        <s v="CariClub" u="1"/>
        <s v="The Fury Group LLC" u="1"/>
        <s v="MyA Health, Inc" u="1"/>
        <s v="Lumenary Inc." u="1"/>
        <s v="Wolf &amp; Wilhelmine inc" u="1"/>
        <s v="Integrity Growth Partners" u="1"/>
        <s v="Republic" u="1"/>
        <s v="Neuralmagic" u="1"/>
        <s v="DGW US Capital LLC" u="1"/>
        <s v="Disruptive Multimedia, Inc dba SuperPhone" u="1"/>
        <s v="FF Activations, LLC" u="1"/>
        <s v="Per Se Partners, LLC" u="1"/>
        <s v="The Chaat Company" u="1"/>
        <s v="Faherty Brand Newport Beach LLC" u="1"/>
        <s v="HW&amp;B Enterprises, LLC" u="1"/>
        <s v="The Leadership Lyceum LLC" u="1"/>
        <s v="Katie Lydon" u="1"/>
        <s v="Dialogue Theory" u="1"/>
        <s v="Akselos Inc" u="1"/>
        <s v="SunTech Drive" u="1"/>
        <s v="NY Venture Bank" u="1"/>
        <s v="Plan Rocket Consulting, LLC" u="1"/>
        <s v="In A Minute Technology Services inc." u="1"/>
        <s v="Mednet, Inc." u="1"/>
        <s v="Vouch Technologies" u="1"/>
        <s v="1776" u="1"/>
        <s v="Quant Media, Inc." u="1"/>
        <s v="Tomia Beauty Brands LLC dba Trestique" u="1"/>
        <s v="EcoVadis" u="1"/>
        <s v="800.com LLC" u="1"/>
        <s v="The Bolde, Inc" u="1"/>
        <s v="MBTMedia LLC" u="1"/>
        <s v="Pearson Technology" u="1"/>
        <s v="Sweeten" u="1"/>
        <s v="Reality Analytics, Inc." u="1"/>
        <s v="GrowthWheel International Inc." u="1"/>
        <s v="Dibs" u="1"/>
        <s v="LiftAI" u="1"/>
        <s v="Blend.io Inc" u="1"/>
        <s v="Forever Beta" u="1"/>
        <s v="joanna goddard inc" u="1"/>
        <s v="Xclaim Mobile, Inc." u="1"/>
        <s v="Capital Rx LLC" u="1"/>
        <s v="ProgrammAddict" u="1"/>
        <s v="Charles Diehl Architect LLC" u="1"/>
        <s v="Park Assist" u="1"/>
        <s v="BuildBlockBiz, LLC." u="1"/>
        <s v="ThinkHR Bronze Client" u="1"/>
        <s v="Third Party Technologies Inc." u="1"/>
        <s v="Tellic" u="1"/>
        <s v="6199938069" u="1"/>
        <s v="Institutional Limited Partners Association" u="1"/>
        <s v="Institute for Entrepreneurial Leadership" u="1"/>
        <s v="Crate Media LLC" u="1"/>
        <s v="The Verden Group" u="1"/>
        <s v="Egan Tax &amp; Books Ltd" u="1"/>
        <s v="Local Office Landscape and Urban Design" u="1"/>
        <s v="SmartSign.com" u="1"/>
        <s v="PowerInbox Inc." u="1"/>
        <s v="S&amp;D Capital" u="1"/>
        <s v="Mado Labs Inc" u="1"/>
        <s v="Porter" u="1"/>
        <s v="CLIENT_249_12" u="1"/>
        <s v="Work-Bench" u="1"/>
        <s v="DataKind" u="1"/>
        <s v="Stupid Cancer, Inc" u="1"/>
        <s v="Project M Group LLC" u="1"/>
        <s v="Kaseware" u="1"/>
        <s v="UnboundED" u="1"/>
        <s v="City Physical Therapy, PC" u="1"/>
        <s v="Mobile Agent Now" u="1"/>
        <s v="WiserTogether, Inc." u="1"/>
        <s v="Misha LLC" u="1"/>
        <s v="Wonderful Life" u="1"/>
        <s v="Nyhan Associates, LLC" u="1"/>
        <s v="Pippa" u="1"/>
        <s v="Freedom Security Alliance" u="1"/>
        <s v="Office 4 Architecture, PC" u="1"/>
        <s v="Avicenna Venture Partners, llc" u="1"/>
        <s v="Uncubed" u="1"/>
        <s v="Sandra Davis LLC" u="1"/>
        <s v="CAN-AM WIRELESS LLC" u="1"/>
        <s v="Paper Tiger Marketing LLC" u="1"/>
        <s v="Mark Medical Care" u="1"/>
        <s v="Encounter Programs" u="1"/>
        <s v="Kambria Foundation" u="1"/>
        <s v="BPM Geeks, LLC d/b/a Bursys" u="1"/>
        <s v="Wolf Den Associates" u="1"/>
        <s v="Primal Cravings" u="1"/>
        <s v="Door Texas Title, LLC" u="1"/>
        <s v="Dynamik Design" u="1"/>
        <s v="Lalo Consulting LLC" u="1"/>
        <s v="The Movement Cooperative" u="1"/>
        <s v="Fig Health, Inc." u="1"/>
        <s v="Downtown Music Publishing" u="1"/>
        <s v="Set" u="1"/>
        <s v="Incsub, LLC" u="1"/>
        <s v="Lexpath Technologies" u="1"/>
        <s v="Arobase Group" u="1"/>
        <s v="gothamCulture" u="1"/>
        <s v="NYC Foundation for Computer Science Education" u="1"/>
        <s v="pulseData" u="1"/>
        <s v="6th Legion" u="1"/>
        <s v="Swoogo LLC" u="1"/>
        <s v="TakeShape Inc." u="1"/>
        <s v="FoodtoEat" u="1"/>
        <s v="iRi in NY, Inc." u="1"/>
        <s v="AWESTRUCK Marketing Group" u="1"/>
        <s v="Grey State Apparel LLC" u="1"/>
        <s v="Primal Health Coach LLC" u="1"/>
        <s v="Vopne Capital, LLC" u="1"/>
        <s v="PiperWai LLC" u="1"/>
        <s v="On Madison Park, LLC" u="1"/>
        <s v="Founders Pledge Inc" u="1"/>
        <s v="Risalto Health" u="1"/>
        <s v="Rally Piryx LLC" u="1"/>
        <s v="BRAMI Inc" u="1"/>
        <s v="OpenLattice, Inc." u="1"/>
        <s v="Planetary Corporation" u="1"/>
        <s v="NXTFactor" u="1"/>
        <s v="Lyell Wealth Management" u="1"/>
        <s v="Nowsta, Inc." u="1"/>
        <s v="Link Media Holdings, LLC" u="1"/>
        <s v="Davis Shapiro Lewit Grabel Leven Granderson &amp; Blake, LLP" u="1"/>
        <s v="DrumG Inc" u="1"/>
        <s v="DORMIFY" u="1"/>
        <s v="Pliskin Architecture PLLC" u="1"/>
        <s v="Summa Financial Technology" u="1"/>
        <s v="The Praxis Project" u="1"/>
        <s v="Correlation One" u="1"/>
        <s v="Springfield Capital Management LLC" u="1"/>
        <s v="Fundbase" u="1"/>
        <s v="Quantified Media Inc." u="1"/>
        <s v="Surface Media LLC" u="1"/>
        <s v="Project Applecart LLC" u="1"/>
        <s v="The SASB Foundation" u="1"/>
        <s v="TeraSys Technologies LLC" u="1"/>
        <s v="Brainchild" u="1"/>
        <s v="Cloud9 Esports, Inc" u="1"/>
        <s v="Boxc Logistics Inc" u="1"/>
        <s v="The Climate Service" u="1"/>
        <s v="National American Indian Housing Council" u="1"/>
        <s v="Benoy US inc" u="1"/>
        <s v="Encore Renewable Energy" u="1"/>
        <s v="Dodini Behavioral Health" u="1"/>
        <s v="Atom LP" u="1"/>
        <s v="Perpetual" u="1"/>
        <s v="RAXO" u="1"/>
        <s v="MYC America Inc" u="1"/>
        <s v="fi creative, inc." u="1"/>
        <s v="Say" u="1"/>
        <s v="ABI Agility LLC" u="1"/>
        <s v="Roam International, Inc." u="1"/>
        <s v="Marauder, LLC" u="1"/>
        <s v="Branching Minds" u="1"/>
        <s v="Nomad" u="1"/>
        <s v="Grainful" u="1"/>
        <s v="Hopscotch" u="1"/>
        <s v="Buffy Inc." u="1"/>
        <s v="KBB Partners" u="1"/>
        <s v="Hamptons Risk Management" u="1"/>
        <s v="Robert Jacobson Surgical Pharmacy" u="1"/>
        <s v="Mossio" u="1"/>
        <s v="Chroma NY" u="1"/>
        <s v="IDG Benefits Fund" u="1"/>
        <s v="PerSÃŒÂ© Beauty Inc" u="1"/>
        <s v="Marchesa Holdings LLC" u="1"/>
        <s v="GoBlog LLC" u="1"/>
        <s v="Libera, Inc." u="1"/>
        <s v="Cangrade, Inc" u="1"/>
        <s v="Advisiry Partners Group LLC" u="1"/>
        <s v="Happie" u="1"/>
        <s v="The Neibart Group" u="1"/>
        <s v="Palmersheim &amp; Mathew" u="1"/>
        <s v="Mortgage Resources Group, LLC" u="1"/>
        <s v="ESXL LLC" u="1"/>
        <s v="The Design Gym" u="1"/>
        <s v="Caymus Frontier Capital. LLC" u="1"/>
        <s v="Rxperts Pharmacy - Chicago LLC" u="1"/>
        <s v="Blue Bear Digital Inc" u="1"/>
        <s v="GV Semiconductor Inc." u="1"/>
        <s v="OrangeYouGlad" u="1"/>
        <s v="CRIXlabs, Inc." u="1"/>
        <s v="GaggleAMP Inc." u="1"/>
        <s v="CareHubs, Inc." u="1"/>
        <s v="J FIGUEROA DDS PC" u="1"/>
        <s v="Bedly Inc" u="1"/>
        <s v="Wild Shore" u="1"/>
        <s v="Shared Studios" u="1"/>
        <s v="Global Business School Network" u="1"/>
        <s v="FortyAU" u="1"/>
        <s v="DC Public Education Fund" u="1"/>
        <s v="SNOWE" u="1"/>
        <s v="Mixmag Media Inc" u="1"/>
        <s v="Intello" u="1"/>
        <s v="Authomate Inc." u="1"/>
        <s v="Loft Orbital" u="1"/>
        <s v="Seleni Psychology and Counseling Support PLLC" u="1"/>
        <s v="Brat, Inc." u="1"/>
        <s v="Bamboo Talent" u="1"/>
        <s v="Ana M. Torres, MD, PA" u="1"/>
        <s v="Touch Lab Inc" u="1"/>
        <s v="The Brevet Group" u="1"/>
        <s v="ShooWin, Inc" u="1"/>
        <s v="Exubrancy" u="1"/>
        <s v="With Projects, Inc." u="1"/>
        <s v="People's Forum, Inc." u="1"/>
        <s v="Tranlin Chesterfield Campus, LLC" u="1"/>
        <s v="Future Lab" u="1"/>
        <s v="Knurling LLC" u="1"/>
        <s v="Traverse Data, Inc." u="1"/>
        <s v="Invoer" u="1"/>
        <s v="Healthie" u="1"/>
        <s v="OptionMetrics, LLC" u="1"/>
        <s v="Studio Rodrigo LLC" u="1"/>
        <s v="CrossBorder Solutions" u="1"/>
        <s v="UpBuild" u="1"/>
        <s v="Fractured Atlas" u="1"/>
        <s v="BarBend" u="1"/>
        <s v="Axiom, Inc." u="1"/>
        <s v="Krusen Capital Management, LLC" u="1"/>
        <s v="StraightLine Private Air, LLC" u="1"/>
        <s v="M2MD Technologies, Inc." u="1"/>
        <s v="Diga Studios" u="1"/>
        <s v="Grailed, Inc" u="1"/>
        <s v="SGP International" u="1"/>
        <s v="Pathspark" u="1"/>
        <s v="EC Capital Advisory" u="1"/>
        <s v="gans studio: architecture PLLC" u="1"/>
        <s v="Six Sents Inc" u="1"/>
        <s v="Spiral Therapeutics, Inc." u="1"/>
        <s v="Polestar" u="1"/>
        <s v="The Mark Wine Group" u="1"/>
        <s v="Symbio Physiotherapy" u="1"/>
        <s v="Moey, Inc." u="1"/>
        <s v="Serial Buzz Co" u="1"/>
        <s v="Indigo Capital Advisors" u="1"/>
        <s v="Narmi" u="1"/>
        <s v="Brune Law P.C." u="1"/>
        <s v="Garcia Fisher Gullette, Inc." u="1"/>
        <s v="Anthemis Capital Managers Americas" u="1"/>
        <s v="Fictive Kin" u="1"/>
        <s v="CLIENT_249_2" u="1"/>
        <s v="DeepCrawl Inc" u="1"/>
        <s v="Optalysys" u="1"/>
        <s v="Promote Inc" u="1"/>
        <s v="Aqueducts Consulting, LLC" u="1"/>
        <s v="The Levo League Corporation" u="1"/>
        <s v="PactSafe, Inc" u="1"/>
        <s v="MPOWERD Inc." u="1"/>
        <s v="Centrist Project" u="1"/>
        <s v="Data Cubed, Inc." u="1"/>
        <s v="Misfit Juicery LLC" u="1"/>
        <s v="Sammich Shop, Inc." u="1"/>
        <s v="The Shelf" u="1"/>
        <s v="D's Naturals" u="1"/>
        <s v="le poisson rouge" u="1"/>
        <s v="Beeper Medical Group, P.C." u="1"/>
        <s v="Zoomifier" u="1"/>
        <s v="Wolf Street Apps LLC" u="1"/>
        <s v="Spacious Technologies Inc." u="1"/>
        <s v="Can of PEas, LLC" u="1"/>
        <s v="Garrett H. Bennett, MD PC" u="1"/>
        <s v="Slade Architecture" u="1"/>
        <s v="Decorative Things LLC" u="1"/>
        <s v="LAVACA PRIMARY HEALTH SYSTEMS, LLC" u="1"/>
        <s v="PropFuel" u="1"/>
        <s v="zkipster USA, Inc." u="1"/>
        <s v="L+R" u="1"/>
        <s v="LandIt" u="1"/>
        <s v="Atlantis Project" u="1"/>
        <s v="Elite Medical Prep LLC" u="1"/>
        <s v="Closed Loop Marketing, Inc." u="1"/>
        <s v="Downtown Psychological Services, PC" u="1"/>
        <s v="Innroad" u="1"/>
        <s v="IDG Capital Management (DE) LLC" u="1"/>
        <s v="West VIrginia Nonprofit Association" u="1"/>
        <s v="CLIENT_249_13" u="1"/>
        <s v="Core Labs Inc" u="1"/>
        <s v="Dwight Development Group LLC" u="1"/>
        <s v="M2O Private Fund Advisors LLC" u="1"/>
        <s v="Green Blender, Inc." u="1"/>
        <s v="WHAT DO YOU MEME? LLC" u="1"/>
        <s v="Fatfree Studio" u="1"/>
        <s v="GetNoticedGetFound, LLC" u="1"/>
        <s v="Open Systems of Switzerland, Ltd." u="1"/>
        <s v="Constellation Agency" u="1"/>
        <s v="portfolio.me" u="1"/>
        <s v="AdvisorAssist, LLC" u="1"/>
        <s v="betterPT, Inc" u="1"/>
        <s v="Kollabio, Inc." u="1"/>
        <s v="Reliant Immune Diagnostics, LLC" u="1"/>
        <s v="Trancendus Technology Inc. DBA Portion" u="1"/>
        <s v="BITCON" u="1"/>
        <s v="CouponFollow" u="1"/>
        <s v="SmartSitting, LLC" u="1"/>
        <s v="Resonance Companies" u="1"/>
        <s v="SafeWaze" u="1"/>
        <s v="Coinmine, Inc." u="1"/>
        <s v="Med School Tutors" u="1"/>
        <s v="Krisalyst Labs LLC" u="1"/>
        <s v="Shop The Creative Incorporated" u="1"/>
        <s v="Enertiv" u="1"/>
        <s v="Fancy Hands Inc" u="1"/>
        <s v="spoiled Media" u="1"/>
        <s v="A&amp;E Technologies LLC" u="1"/>
        <s v="OCO Global" u="1"/>
        <s v="Grey Orange" u="1"/>
        <s v="Car IQ, Inc." u="1"/>
        <s v="RxSpeed, Inc." u="1"/>
        <s v="INVISR" u="1"/>
        <s v="TodayTix, Inc." u="1"/>
        <s v="Bedrock Rehearsal LLC" u="1"/>
        <s v="COPA90 Inc." u="1"/>
        <s v="The Yard" u="1"/>
        <s v="The Block Crypto, Inc." u="1"/>
        <s v="Justice Policy Institute" u="1"/>
        <s v="Elite Business Investments Corp." u="1"/>
        <s v="BollyX Inc." u="1"/>
        <s v="Lemonade Creative" u="1"/>
        <s v="Founders Technology Group, LLC" u="1"/>
        <s v="Emptor" u="1"/>
        <s v="Law Offices of Mona R. Millstein" u="1"/>
        <s v="Intentional Spark" u="1"/>
        <s v="Optimization Partners LLC" u="1"/>
        <s v="Helix Sleep Inc." u="1"/>
        <s v="Food 52, Inc" u="1"/>
        <s v="Bainbridge Health" u="1"/>
        <s v="DPA Foundation" u="1"/>
        <s v="Marketly LLC" u="1"/>
        <s v="Proscenium Events, LLC" u="1"/>
        <s v="Phaser Lock Interactive" u="1"/>
        <s v="August" u="1"/>
        <s v="AVP Flips Inc" u="1"/>
        <s v="JAKK Media LLC" u="1"/>
        <s v="Honda Estilo USA, LLC" u="1"/>
        <s v="Faherty Brand Malibu LLC" u="1"/>
        <s v="Wild Product Company" u="1"/>
        <s v="Scout Technologies" u="1"/>
        <s v="Versatile Studios Inc." u="1"/>
        <s v="Jetaport" u="1"/>
        <s v="Kickfurther" u="1"/>
        <s v="WeTheAction" u="1"/>
        <s v="Ozmosys, Inc." u="1"/>
        <s v="Ascentt Business Systems Inc." u="1"/>
        <s v="Workshop/APD Architecture DPC" u="1"/>
        <s v="CRU" u="1"/>
        <s v="Eden Health Medical, PC" u="1"/>
        <s v="Center for Democracy &amp; Technology" u="1"/>
        <s v="Gerald J. Smallberg MD PC" u="1"/>
        <s v="FANCHEST" u="1"/>
        <s v="PHC Restoration Holdings LLC" u="1"/>
        <s v="ValuePenguin Inc." u="1"/>
        <s v="JLC &amp; Associates" u="1"/>
        <s v="the fearlessgroup usa Inc" u="1"/>
        <s v="North Creative LLC" u="1"/>
        <s v="Localize.city, Inc." u="1"/>
        <s v="Sparkfund" u="1"/>
        <s v="Floatie Kings" u="1"/>
        <s v="Hubbub Incorporated" u="1"/>
        <s v="Perf Labs, Inc." u="1"/>
        <s v="Likeable Labs" u="1"/>
        <s v="Monegraph, Inc." u="1"/>
        <s v="Scripto Enterprises" u="1"/>
        <s v="Open Fortune Media" u="1"/>
        <s v="RotoQL" u="1"/>
        <s v="Meteor Managed, Inc." u="1"/>
        <s v="Nimble Software Systems Inc." u="1"/>
        <s v="StreetCred Labs, Inc." u="1"/>
        <s v="Nevada Corporate Counsel LLC" u="1"/>
        <s v="woflow, Inc." u="1"/>
        <s v="Blueprint Power" u="1"/>
        <s v="GoKid Corporation" u="1"/>
        <s v="CTZNWELL Institute" u="1"/>
        <s v="RetSKU" u="1"/>
        <s v="Litmus Health" u="1"/>
        <s v="Minibar Delivery" u="1"/>
        <s v="Concerted Efforts" u="1"/>
        <s v="Jarvis Cole, Inc." u="1"/>
        <s v="Stream Video Solutions, LLC" u="1"/>
        <s v="Sage Age Strategies" u="1"/>
        <s v="Todyl Inc." u="1"/>
        <s v="Gotham New York, LLC" u="1"/>
        <s v="The Accountkeepers" u="1"/>
        <s v="Mashey" u="1"/>
        <s v="LoneStar Airport Holdings" u="1"/>
        <s v="Center for Cognitive Therapy and Assessment" u="1"/>
        <s v="Ohlin D" u="1"/>
        <s v="Museum Hack" u="1"/>
        <s v="Octopie Studios LLC" u="1"/>
        <s v="Academy High" u="1"/>
        <s v="Largo Management LLC" u="1"/>
        <s v="Infrastructure for Sustainable Development LLC" u="1"/>
        <s v="Zoomforth" u="1"/>
        <s v="Otto Radio, Inc" u="1"/>
        <s v="Barrett Architecture LLC" u="1"/>
        <s v="Rockset, Inc" u="1"/>
        <s v="Body Back Company" u="1"/>
        <s v="F1Payments" u="1"/>
        <s v="SeaMonster Studios, LLC" u="1"/>
        <s v="Away" u="1"/>
        <s v="Physiclo" u="1"/>
        <s v="Vy Capital" u="1"/>
        <s v="Comparex USA" u="1"/>
        <s v="Rare Volume" u="1"/>
        <s v="Jane Smith Agency" u="1"/>
        <s v="Wellthie Inc." u="1"/>
        <s v="ExpressGrub.com" u="1"/>
        <s v="Fullstack Academy" u="1"/>
        <s v="Jetty Insurance Agency LLC" u="1"/>
        <s v="Fortnight Post" u="1"/>
        <s v="Botticella Conference Solutions, LLC" u="1"/>
        <s v="Denverite" u="1"/>
        <s v="SCM Connections" u="1"/>
        <s v="FixtHub" u="1"/>
        <s v="adtechnacity, LLC" u="1"/>
        <s v="GLOBAL TECK WORLDWIDE, INC" u="1"/>
        <s v="Audicus" u="1"/>
        <s v="People Centered Research Foundation" u="1"/>
        <s v="Brainlabs Inc" u="1"/>
        <s v="Roomors" u="1"/>
        <s v="D'Apostrophe" u="1"/>
        <s v="Motiv NY Physical Therapy" u="1"/>
        <s v="Big Duck" u="1"/>
        <s v="borderless" u="1"/>
        <s v="cmdSecurity Inc." u="1"/>
        <s v="Visual Goodness, Inc." u="1"/>
        <s v="Eave" u="1"/>
        <s v="Artemis Ward" u="1"/>
        <s v="BURROW, INC." u="1"/>
        <s v="LaunchSource Inc." u="1"/>
        <s v="CRM Add-ons, LLC" u="1"/>
        <s v="All County Capital Corp" u="1"/>
        <s v="Oculus Health" u="1"/>
        <s v="Heyman Family LLC" u="1"/>
        <s v="Michael Management Corporation" u="1"/>
        <s v="Manhattan Media" u="1"/>
        <s v="Acuity Scheduling, Inc." u="1"/>
        <s v="Blueprint Research Group" u="1"/>
        <s v="Jetson.ai" u="1"/>
        <s v="Three Court LP" u="1"/>
        <s v="Jakt" u="1"/>
        <s v="Send Solutions LLC" u="1"/>
        <s v="Concept Artists, LLC" u="1"/>
        <s v="Lightmatter" u="1"/>
        <s v="SecondMuse" u="1"/>
        <s v="Parsec Cloud, Inc." u="1"/>
        <s v="Descente Athletic Americas Inc." u="1"/>
        <s v="31south" u="1"/>
        <s v="Abacus Hive" u="1"/>
        <s v="LABELIUM SF, LLC" u="1"/>
        <s v="Park Sports Physical Therapy, PLLC" u="1"/>
        <s v="Accomplice" u="1"/>
        <s v="Impatient Marketing LLC" u="1"/>
        <s v="Museum of Food and Drink" u="1"/>
        <s v="ARPR, LLC" u="1"/>
        <s v="IVY" u="1"/>
        <s v="BFA NYC LLC" u="1"/>
        <s v="Krause+Sawyer" u="1"/>
        <s v="CFF" u="1"/>
        <s v="GoParrot Inc" u="1"/>
        <s v="JCA Investment Holdings Inc." u="1"/>
        <s v="GivingData" u="1"/>
        <s v="Metric Collective LLC" u="1"/>
        <s v="Surratt Cosmetics LLC" u="1"/>
        <s v="Film Movement LLC" u="1"/>
        <s v="Survival Servers, LLC" u="1"/>
        <s v="Adventure Capital Global" u="1"/>
        <s v="Cyber City, Inc." u="1"/>
        <s v="eToro USA LLC" u="1"/>
        <s v="PaperChef LLC" u="1"/>
        <s v="Lostmy.name Inc" u="1"/>
        <s v="Affinity Dental Management, Inc," u="1"/>
        <s v="Exo Inc." u="1"/>
        <s v="Blenderbox, Inc." u="1"/>
        <s v="Vaudeville Ventures" u="1"/>
        <s v="The Science Project Agency, LLC" u="1"/>
        <s v="Freedom Information Technology Solutions" u="1"/>
        <s v="Tellic LLC" u="1"/>
        <s v="iknowthechef" u="1"/>
        <s v="Headlight Corp" u="1"/>
        <s v="Become Labs" u="1"/>
        <s v="Propel Capital" u="1"/>
        <s v="Convicts LLC" u="1"/>
        <s v="Mentis Group, Inc." u="1"/>
        <s v="Ichorion Therapeutics, Inc." u="1"/>
        <s v="Tessellate Design Inc" u="1"/>
        <s v="ClearMetal, Inc." u="1"/>
        <s v="Depop" u="1"/>
        <s v="CM&amp;A - Czukas McCall and Assoc" u="1"/>
        <s v="GIRLS FOR GENDER EQUITY INC - GGE" u="1"/>
        <s v="Manhattan Sports Business Academy" u="1"/>
        <s v="Bre and Co LLC" u="1"/>
        <s v="Spirited Media, Inc" u="1"/>
        <s v="LexAlign PBC" u="1"/>
        <s v="Hooli Homes New York, Inc." u="1"/>
        <s v="Exeq" u="1"/>
        <s v="Winston Project, LLC" u="1"/>
        <s v="Unemployed philosophers inc." u="1"/>
        <s v="YouCanBookMe Inc" u="1"/>
        <s v="ARTA" u="1"/>
        <s v="ULTRATA, LLC" u="1"/>
        <s v="AT PEAK Resources LLC" u="1"/>
        <s v="Linda L. Isaacs, M.D., P.C." u="1"/>
        <s v="Pyer Moss Apparel Group, LLC" u="1"/>
        <s v="Pai Orthodontics PLLC" u="1"/>
        <s v="Basepair" u="1"/>
        <s v="Cofinance Inc" u="1"/>
        <s v="Chili Piper, Inc." u="1"/>
        <s v="Jido inc." u="1"/>
        <s v="Mighty Oak" u="1"/>
        <s v="A Tiny Company, Inc." u="1"/>
        <s v="TANDENT VISION SCIENCE, INC" u="1"/>
        <s v="High Performance Physical Therapy" u="1"/>
        <s v="Noken, Inc." u="1"/>
        <s v="Caisson, Corp" u="1"/>
        <s v="Luxor Capital Group, LP" u="1"/>
        <s v="Clubhouse Software, Inc." u="1"/>
        <s v="instadeal Inc." u="1"/>
        <s v="Tire Agent Corp" u="1"/>
        <s v="Hudson River CIO Advisors, LLC" u="1"/>
        <s v="Prattle" u="1"/>
        <s v="Nova Consulting Entertainment US LLC" u="1"/>
        <s v="Oak Studios LLC" u="1"/>
        <s v="Pendello Solutions, Inc." u="1"/>
        <s v="Financial Investment News" u="1"/>
        <s v="Pabco Representatives, Inc" u="1"/>
        <s v="Marsden LLC" u="1"/>
        <s v="Big Propeller" u="1"/>
        <s v="Circumference" u="1"/>
        <s v="Single Sprout, Inc" u="1"/>
        <s v="Tattly" u="1"/>
        <s v="90WPM, LLC" u="1"/>
        <s v="Wheeler Advertising" u="1"/>
        <s v="Shipzen LLC" u="1"/>
        <s v="Frilly, Inc." u="1"/>
        <s v="Prodigy Shorewood Investment Management LLC" u="1"/>
        <s v="Talkoot" u="1"/>
        <s v="Dallas Power Supply, LLC" u="1"/>
        <s v="ArchonOne" u="1"/>
        <s v="Modern Guild" u="1"/>
        <s v="Broker Services Co" u="1"/>
        <s v="Imprint Projects" u="1"/>
        <s v="Practicalati Kids, Inc." u="1"/>
        <s v="Digital Asset Custody Company, Inc." u="1"/>
        <s v="Swell Inc." u="1"/>
        <s v="Incandescent" u="1"/>
        <s v="SO Projects Inc" u="1"/>
        <s v="Quantitative Systematic Strategies LLC" u="1"/>
        <s v="Liberty SBF" u="1"/>
        <s v="Dwight Capital LLC" u="1"/>
        <s v="Isx Consulting" u="1"/>
        <s v="Therapeutic Inspiration PT, PC" u="1"/>
        <s v="Protomorrow LLC" u="1"/>
        <s v="FactSquared" u="1"/>
        <s v="BuiltIN studio" u="1"/>
        <s v="Accountable2You, LLC" u="1"/>
        <s v="DecisionMapper Corporation" u="1"/>
        <s v="The Leader's Institute, LLC" u="1"/>
        <s v="Advomatic" u="1"/>
        <s v="SCPS" u="1"/>
        <s v="The DJ Booth LLC" u="1"/>
        <s v="USAM Group Inc." u="1"/>
        <s v="Avalon Suites LLC" u="1"/>
        <s v="NeWAY Capital LLC" u="1"/>
        <s v="Quickframe Inc" u="1"/>
        <s v="Partner Payments" u="1"/>
        <s v="SparkWeb Interactive, Inc." u="1"/>
        <s v="Imprint" u="1"/>
        <s v="Brooklyn Bridge Ventures" u="1"/>
        <s v="Loyal" u="1"/>
        <s v="Sentieo Inc" u="1"/>
        <s v="JETSETGO LLC" u="1"/>
        <s v="YOURGIVING INC" u="1"/>
        <s v="LifeLabs" u="1"/>
        <s v="Smashcut" u="1"/>
        <s v="HEVO Inc." u="1"/>
        <s v="RxMx USA Inc" u="1"/>
        <s v="Hale Advisors, Inc." u="1"/>
        <s v="Limitless Entertainment Ltd" u="1"/>
        <s v="Capital Preservation Partners, Inc." u="1"/>
        <s v="Beyond 8" u="1"/>
        <s v="Greenback ETS" u="1"/>
        <s v="Makook Studio LLC" u="1"/>
        <s v="Datalogue" u="1"/>
        <s v="Techwhale LLC" u="1"/>
        <s v="Gotham Physical Therapy Group PLLC" u="1"/>
        <s v="Paloma" u="1"/>
        <s v="Croissant" u="1"/>
        <s v="Lumni USA" u="1"/>
        <s v="tackle.io" u="1"/>
        <s v="Latitude Software Services, Inc." u="1"/>
        <s v="Pace Consulting Group" u="1"/>
        <s v="Hyper Island" u="1"/>
        <s v="Calibrater Health" u="1"/>
        <s v="Krakower DiChiara LLC" u="1"/>
        <s v="Adolescent, inc" u="1"/>
        <s v="Loyalkaspar" u="1"/>
        <s v="Rehash Studio" u="1"/>
        <s v="Smartwork Media" u="1"/>
        <s v="Punchmark" u="1"/>
        <s v="Customer analytics Technologies Inc." u="1"/>
        <s v="ButterflyMX" u="1"/>
        <s v="SourceCode Communications, LLC" u="1"/>
        <s v="Sigla, LLC" u="1"/>
        <s v="ASC Advisors LLC" u="1"/>
        <s v="Dissent Magazine" u="1"/>
        <s v="Two Franks Holdings, LLC" u="1"/>
        <s v="Scott's Cheap Flights, LLC" u="1"/>
        <s v="Emmett Investment Management" u="1"/>
        <s v="Averalink Information Systems, LLC" u="1"/>
        <s v="Resident360" u="1"/>
        <s v="Audiomack Inc." u="1"/>
        <s v="Silver Lining Limited, USA" u="1"/>
        <s v="P.S. 260, Inc." u="1"/>
        <s v="Vaizra Investments" u="1"/>
        <s v="Very Beauty" u="1"/>
        <s v="ST Music LLC" u="1"/>
        <s v="Fuel50" u="1"/>
        <s v="eKare Inc." u="1"/>
        <s v="Cobia Capital" u="1"/>
        <s v="Drop Fitness, Inc." u="1"/>
        <s v="International Center for Law &amp; Economics" u="1"/>
        <s v="Make Change LLC" u="1"/>
        <s v="FuseMachines" u="1"/>
        <s v="Javelin Networks" u="1"/>
        <s v="Mischief Management LLC" u="1"/>
        <s v="A24" u="1"/>
        <s v="Matter Unlimited LLC" u="1"/>
        <s v="Field to Market" u="1"/>
        <s v="DaisyBill" u="1"/>
        <s v="Envirocon Technologies, Inc." u="1"/>
        <s v="Innovatis Group" u="1"/>
        <s v="The Computer Guy" u="1"/>
        <s v="Metal Rabbit Media" u="1"/>
        <s v="Cartwheel" u="1"/>
        <s v="liwwa, Inc (NYC)" u="1"/>
        <s v="Grandesign Advertising Firm, Inc." u="1"/>
        <s v="Coalesce Creative LLC" u="1"/>
        <s v="Scentbird" u="1"/>
        <s v="Adtrib Inc. (D/B/A MaestroQA)" u="1"/>
        <s v="Donorly" u="1"/>
        <s v="Capital Z Services, LLC" u="1"/>
        <s v="Unique Features" u="1"/>
        <s v="KickBack" u="1"/>
        <s v="Flies Collective" u="1"/>
        <s v="Type Network" u="1"/>
        <s v="Kaptivate LLC" u="1"/>
        <s v="Vaquero Global Investment LP" u="1"/>
        <s v="Garic Inc" u="1"/>
        <s v="Savvy Apps" u="1"/>
        <s v="Elysium Health" u="1"/>
        <s v="cipaq" u="1"/>
        <s v="Magstim, Inc." u="1"/>
        <s v="ChangeSprout Inc." u="1"/>
        <s v="Unoceros" u="1"/>
        <s v="SoundBetter, Inc." u="1"/>
        <s v="terrain" u="1"/>
        <s v="TwoSense, Inc." u="1"/>
        <s v="Young Judaea Global" u="1"/>
        <s v="FT Optimize" u="1"/>
        <s v="Delve" u="1"/>
        <s v="Cointaxes" u="1"/>
        <s v="RippleMatch" u="1"/>
        <s v="Bodyfix Method" u="1"/>
        <s v="Faherty Brand Prince Street, LLC" u="1"/>
        <s v="Techin New York" u="1"/>
        <s v="Made In Cookware" u="1"/>
        <s v="Transco Claims Services, Inc." u="1"/>
        <s v="CMS Advertising Group, LLC d/b/a Materiell" u="1"/>
        <s v="Atema Architecture" u="1"/>
        <s v="Crypto Asset Management, LP" u="1"/>
        <s v="Affinity Capital Exchange Inc." u="1"/>
        <s v="CLIENT_249_3" u="1"/>
        <s v="Moving Analytics" u="1"/>
        <s v="Paladin Software" u="1"/>
        <s v="Evora IT Solutions, Inc." u="1"/>
        <s v="Gimlet Media" u="1"/>
        <s v="Hyperallergic" u="1"/>
        <s v="LiteracyTA, Inc." u="1"/>
        <s v="Equal Experts UK Ltd" u="1"/>
        <s v="The Class by Taryn Toomey" u="1"/>
        <s v="Casa Inc." u="1"/>
        <s v="Chrono Inc" u="1"/>
        <s v="Boston Biomotion" u="1"/>
        <s v="Workyard Holdings, Inc" u="1"/>
        <s v="Studio Four NYC" u="1"/>
        <s v="Be Girl" u="1"/>
        <s v="DMC Partners" u="1"/>
        <s v="Oxford Policy Management United States Ltd" u="1"/>
        <s v="Caresyntax" u="1"/>
        <s v="Maker's Row, Inc." u="1"/>
        <s v="Banyan Risk Group" u="1"/>
        <s v="Skaled Consulting" u="1"/>
        <s v="LifeBEAM Inc" u="1"/>
        <s v="Voltaic Systems" u="1"/>
        <s v="YouNow, Inc." u="1"/>
        <s v="AdvisorEngine Inc" u="1"/>
        <s v="BeerMenus" u="1"/>
        <s v="Stoke Studio" u="1"/>
        <s v="Soho Properties" u="1"/>
        <s v="Wit America Inc" u="1"/>
        <s v="Aldebaran Group, Inc." u="1"/>
        <s v="BACA Coffee, Inc." u="1"/>
        <s v="Upsider" u="1"/>
        <s v="Workshop Collections" u="1"/>
        <s v="Finite Partners, LLC" u="1"/>
        <s v="Smyrna Montessori School" u="1"/>
        <s v="Breezi.io" u="1"/>
        <s v="Out Leadership, LLC" u="1"/>
        <s v="Optimove Inc" u="1"/>
        <s v="Tagomi Systems Inc" u="1"/>
        <s v="The Smilist Dental" u="1"/>
        <s v="Shankar Ninan &amp; Co. LLP" u="1"/>
        <s v="Popwallet" u="1"/>
        <s v="Vivli Inc." u="1"/>
        <s v="Truffle Pig, LLC" u="1"/>
        <s v="Flamingo" u="1"/>
        <s v="Amper Music" u="1"/>
        <s v="Broad Real Estate Services Inc." u="1"/>
        <s v="LINGPERFECT TRANSLATIONS" u="1"/>
        <s v="The Nue Co" u="1"/>
        <s v="Waypoint Media" u="1"/>
        <s v="Bytemark, Inc." u="1"/>
        <s v="Aimee Wilder Designs" u="1"/>
        <s v="www.sprigs.com" u="1"/>
        <s v="The Class LA LLC" u="1"/>
        <s v="Rebecca Minkoff LLC" u="1"/>
        <s v="GRIND-VSP LLC" u="1"/>
        <s v="Merritt, McLane &amp; Hamby, P.C." u="1"/>
        <s v="Mindmaven" u="1"/>
        <s v="The Berkeley Partnership" u="1"/>
        <s v="Integrated Roasting Technologies, Inc." u="1"/>
        <s v="Suk Design Group LLP" u="1"/>
        <s v="Bullish, Inc" u="1"/>
        <s v="Enroll My Group.com" u="1"/>
        <s v="Biograph International Inc" u="1"/>
        <s v="Zeamo" u="1"/>
        <s v="522 Productions" u="1"/>
        <s v="Tanya Taylor Designs LLC" u="1"/>
        <s v="SWARM" u="1"/>
        <s v="Alan Morgan" u="1"/>
        <s v="Ruz Distribution Inc." u="1"/>
        <s v="Sirotkin Varacalli &amp; Hamra, LLP" u="1"/>
        <s v="Tictail" u="1"/>
        <s v="Live Oak Resource Partners" u="1"/>
        <s v="Westchester Children's Association" u="1"/>
        <s v="Recipe into Reality" u="1"/>
        <s v="Vanguard Benefit Solutions, LLC" u="1"/>
        <s v="Gretel" u="1"/>
        <s v="ViewPoint Government Solutions, Inc." u="1"/>
        <s v="SaveMySales, Inc." u="1"/>
        <s v="Clutch Talent" u="1"/>
        <s v="Nice Soft T-shirt" u="1"/>
        <s v="Nvstr Technologies LLC" u="1"/>
        <s v="Meridian Design Associates, Architects P.C." u="1"/>
        <s v="HYPR CORP" u="1"/>
        <s v="Circus Maximus" u="1"/>
        <s v="Hire Smarter, Inc." u="1"/>
        <s v="Stockbridge Consulting LLC" u="1"/>
        <s v="ventureLab U.S. West Management, LLC" u="1"/>
        <s v="Exemplar Technologies, Inc." u="1"/>
        <s v="Statierra Corp. dba MixR" u="1"/>
        <s v="Hoplite Power" u="1"/>
        <s v="The Jed Foundation" u="1"/>
        <s v="Flatiron Family Medical" u="1"/>
        <s v="RocketReach LLC" u="1"/>
        <s v="BamTech" u="1"/>
        <s v="Cheddar Inc" u="1"/>
        <s v="LitWorld" u="1"/>
        <s v="Simon Data" u="1"/>
        <s v="EnvoyAI Inc." u="1"/>
        <s v="Goldhirsh &amp; Goldhirsh" u="1"/>
        <s v="6S Marketing USA, Inc." u="1"/>
        <s v="FindShadow, PBC" u="1"/>
        <s v="Sbot Technologies Inc." u="1"/>
        <s v="Dark3, Inc" u="1"/>
        <s v="Ignite Selling" u="1"/>
        <s v="3PL Americas, LLC" u="1"/>
        <s v="Federal Schedules, Inc." u="1"/>
        <s v="Brian Dorsey Studios" u="1"/>
        <s v="Bhojani &amp; Nelson, PLLC" u="1"/>
        <s v="Payfully" u="1"/>
        <s v="THINX Inc." u="1"/>
        <s v="PROSPECT AGENCY" u="1"/>
        <s v="VH1 Save The Music Foundation" u="1"/>
        <s v="Clamour" u="1"/>
        <s v="Pica9, Inc." u="1"/>
        <s v="Cylera" u="1"/>
        <s v="Poln Inc" u="1"/>
        <s v="The Red Porch, Inc." u="1"/>
        <s v="Kworq" u="1"/>
        <s v="Human NYC" u="1"/>
        <s v="Justworks Sales Demo" u="1"/>
        <s v="Sarankco, LLC" u="1"/>
        <s v="Interior Resources USA LLC" u="1"/>
        <s v="One Million Metrics Corp dba Kinetic" u="1"/>
        <s v="Cushion Co." u="1"/>
        <s v="The League App Inc" u="1"/>
        <s v="CR Fashion Book Ltd" u="1"/>
        <s v="Oxford Property Partners" u="1"/>
        <s v="The Tyler Clementi Foundation" u="1"/>
        <s v="Dwight Securities Management LLC" u="1"/>
        <s v="The Art of Problem Solving Foundation" u="1"/>
        <s v="VentureOut" u="1"/>
        <s v="Archer Roose" u="1"/>
        <s v="PrintElements" u="1"/>
        <s v="FundRx Inc." u="1"/>
        <s v="Equity Data Science" u="1"/>
        <s v="Enable Community Foundation" u="1"/>
        <s v="SprezzaBox Inc." u="1"/>
        <s v="Parsley Medical PLLC" u="1"/>
        <s v="Turnstyle Management LLC" u="1"/>
        <s v="Anvyl Inc." u="1"/>
        <s v="Veo Ride" u="1"/>
        <s v="Uru" u="1"/>
        <s v="VenueBook" u="1"/>
        <s v="Poets &amp; Writers" u="1"/>
        <s v="Benjamin Vandiver Interiors" u="1"/>
        <s v="HOLA NYC" u="1"/>
        <s v="FoxTales Storybooth, LLC" u="1"/>
        <s v="Fair Folk" u="1"/>
        <s v="Avanan, Inc" u="1"/>
        <s v="Socratic.org" u="1"/>
        <s v="JabaTalks" u="1"/>
        <s v="Braavo Capital Inc." u="1"/>
        <s v="FastFin" u="1"/>
        <s v="SelfMadeMe, Inc." u="1"/>
        <s v="Inamoto &amp; Co" u="1"/>
        <s v="Stellar Health" u="1"/>
        <s v="2 Hemispheres, Inc." u="1"/>
        <s v="Turtle Bay Group, Inc." u="1"/>
        <s v="STATE Bags" u="1"/>
        <s v="Sourced Adventures, Inc." u="1"/>
        <s v="Robert Wu, Attorney at Law" u="1"/>
        <s v="Direct Agents" u="1"/>
        <s v="Ansatz Capital LLC" u="1"/>
        <s v="Ofinno Technologies" u="1"/>
        <s v="OptionMetrics LLC" u="1"/>
        <s v="APE Studio, Inc." u="1"/>
        <s v="Cityblock Health" u="1"/>
        <s v="Syzygy Digital Marketing, Inc." u="1"/>
        <s v="Razz Interactive" u="1"/>
        <s v="Upside Services, Inc" u="1"/>
        <s v="Stacked Capital Advisors, LP" u="1"/>
        <s v="StreamSets, Inc" u="1"/>
        <s v="f2inc" u="1"/>
        <s v="Carey LLC" u="1"/>
        <s v="LitCharts LLC" u="1"/>
        <s v="Frank J Valente, DC, PC" u="1"/>
        <s v="Revv" u="1"/>
        <s v="Smilebar" u="1"/>
        <s v="Hello I am Elliot Inc" u="1"/>
        <s v="Share Local Media" u="1"/>
        <s v="Revive of Colorado" u="1"/>
        <s v="Pay With Privacy, Inc." u="1"/>
        <s v="Federal Advisory Partners" u="1"/>
        <s v="Principle Project Management, LLC" u="1"/>
        <s v="Telzall, LLC" u="1"/>
        <s v="humble impact" u="1"/>
        <s v="Breathometer, Inc." u="1"/>
        <s v="UTCP" u="1"/>
        <s v="Spacious" u="1"/>
        <s v="Green Key Technologies" u="1"/>
        <s v="Uniphore Software Systems Inc." u="1"/>
        <s v="AltiSales" u="1"/>
        <s v="Trafla Inc." u="1"/>
        <s v="Aedit LLC" u="1"/>
        <s v="Affinity Dental Services" u="1"/>
        <s v="Bloom Financial Services Inc." u="1"/>
        <s v="SavvyPCI" u="1"/>
        <s v="Bucket Listers Inc." u="1"/>
        <s v="Man Repeller LLC" u="1"/>
        <s v="The Publisher Desk" u="1"/>
        <s v="Fink O'Molony Labs, Inc." u="1"/>
        <s v="WhereBy.Us" u="1"/>
        <s v="Blueprint Research Group, LLC" u="1"/>
        <s v="Class B Suites LLC" u="1"/>
        <s v="GAN Integrity" u="1"/>
        <s v="Cathy Labs Inc" u="1"/>
        <s v="Stoplight, Inc." u="1"/>
        <s v="Red Pill Analytics" u="1"/>
        <s v="In Our Backyards, Inc." u="1"/>
        <s v="Gamer Sensei" u="1"/>
        <s v="Data Cubed, LLC" u="1"/>
        <s v="BRUT" u="1"/>
        <s v="FitHouse" u="1"/>
        <s v="Interactive Mechanics" u="1"/>
        <s v="Economic Evaluation Group, Inc." u="1"/>
        <s v="Boundless Spatial Inc" u="1"/>
        <s v="Pierce Bainbridge LLP" u="1"/>
        <s v="Sawyer" u="1"/>
        <s v="YummyColours LLC" u="1"/>
        <s v="Practice for Architecture Urbanism" u="1"/>
        <s v="Offline" u="1"/>
        <s v="Keepsake" u="1"/>
        <s v="Lily Jade, LLC" u="1"/>
        <s v="Flatiron School" u="1"/>
        <s v="Great Hearts Initiatives" u="1"/>
        <s v="Sorcero Inc." u="1"/>
        <s v="Dappcentral Inc." u="1"/>
        <s v="NanoMedical Systems, Inc." u="1"/>
        <s v="Profit Line LLC" u="1"/>
        <s v="Parsley Health" u="1"/>
        <s v="theWISP.net, CORP" u="1"/>
        <s v="718 7th St NW." u="1"/>
        <s v="EdNavigator, Inc" u="1"/>
        <s v="VinePair" u="1"/>
        <s v="NationSwell" u="1"/>
        <s v="Toaster Inc" u="1"/>
        <s v="The Banner Years" u="1"/>
        <s v="Dayang Alliance, LLC" u="1"/>
        <s v="Temple Grange Partners Inc" u="1"/>
        <s v="MTC USA, LLC" u="1"/>
        <s v="Contactengine Inc" u="1"/>
        <s v="Promethian LLC" u="1"/>
        <s v="American Mushroom Hunter Corp." u="1"/>
        <s v="Selvera" u="1"/>
        <s v="Inscape Circle LLC" u="1"/>
        <s v="Adam Leitman Bailey, P.C." u="1"/>
        <s v="GlobalWebIndex Inc" u="1"/>
        <s v="Fever-Tree USA" u="1"/>
        <s v="DoseNYC Inc." u="1"/>
        <s v="Unity Influence" u="1"/>
        <s v="Air Charter Control, LLC" u="1"/>
        <s v="FanHero" u="1"/>
        <s v="Skai Blue Media" u="1"/>
        <s v="BlockTower Capital Advisors LP" u="1"/>
        <s v="Taranis LLC" u="1"/>
        <s v="Peter Pauper Press, Inc." u="1"/>
        <s v="Hem + Spire" u="1"/>
        <s v="LeagueApps, Inc." u="1"/>
        <s v="Quantico Energy Solutions" u="1"/>
        <s v="TOBAM North America" u="1"/>
        <s v="Target Marketing Digital" u="1"/>
        <s v="Imprint PR, LLC" u="1"/>
        <s v="Piece &amp; Co" u="1"/>
        <s v="Litimetrics Inc" u="1"/>
        <s v="Leap Wealth Management" u="1"/>
        <s v="OpenBCI" u="1"/>
        <s v="PANATEA, LLC" u="1"/>
        <s v="Arc Intermedia, LLC" u="1"/>
        <s v="NoHo Services, Inc." u="1"/>
        <s v="Veronica Beard Dallas LLC" u="1"/>
        <s v="goTenna" u="1"/>
        <s v="ConvertKit" u="1"/>
        <s v="D2 Publicity" u="1"/>
        <s v="R&amp;K Trading Inc. D.B.A. Randkwireless.com" u="1"/>
        <s v="Whitman Insight Strategies, LLC" u="1"/>
        <s v="Wildbit" u="1"/>
        <s v="Flyclops LLC" u="1"/>
        <s v="Publicide Inc" u="1"/>
        <s v="Dundee VC Management, LLC" u="1"/>
        <s v="Infinite Arthroscopy Inc." u="1"/>
        <s v="Thomas Phifer and Partners LLP" u="1"/>
        <s v="Lonelyleap" u="1"/>
        <s v="Smart AdServer" u="1"/>
        <s v="Fun and Function LLC" u="1"/>
        <s v="Skreens" u="1"/>
        <s v="Blackbird" u="1"/>
        <s v="Course Guide Inc." u="1"/>
        <s v="MTP, Inc." u="1"/>
        <s v="Monkey Squad Inc" u="1"/>
        <s v="Aristone Realty Capital" u="1"/>
        <s v="API Fortress" u="1"/>
        <s v="Pure Research &amp; Design LLC" u="1"/>
        <s v="Red Key Solutions" u="1"/>
        <s v="Those Like Us, LLC" u="1"/>
        <s v="Ricki Kline | Design + Build" u="1"/>
        <s v="COOKLEW Inc" u="1"/>
        <s v="Hush Studios" u="1"/>
        <s v="FitLab" u="1"/>
        <s v="Vital Score" u="1"/>
        <s v="Workshop Design" u="1"/>
        <s v="Long Arc Capital" u="1"/>
        <s v="Choice Care Diversified Solutions, LLC" u="1"/>
        <s v="Athletik Health Inc." u="1"/>
        <s v="Perksy, Inc" u="1"/>
        <s v="Catchafire Inc" u="1"/>
        <s v="Core Total Care, LLC" u="1"/>
        <s v="Coverance Insurance Solutions" u="1"/>
        <s v="Troops" u="1"/>
        <s v="RockPaperRobot Inc." u="1"/>
        <s v="Baby Doctor, Inc." u="1"/>
        <s v="Timescale Inc." u="1"/>
        <s v="First Due Size-Up" u="1"/>
        <s v="Council of Institutional Investors" u="1"/>
        <s v="Door, Inc." u="1"/>
        <s v="Franklyn LLC" u="1"/>
        <s v="Sparrow Fund Management LP" u="1"/>
        <s v="Olive Tree Ventures, Inc." u="1"/>
        <s v="Workrails, Inc." u="1"/>
        <s v="Conscious Cloud, LLC." u="1"/>
        <s v="ParentsTogether Foundation" u="1"/>
        <s v="Pendo.io, Inc." u="1"/>
        <s v="Shine" u="1"/>
        <s v="Grow Bioplastics" u="1"/>
        <s v="ConcretePlatform Inc" u="1"/>
        <s v="Huber Research Partners, LLC" u="1"/>
        <s v="Function1" u="1"/>
        <s v="CLOTH &amp; KIND" u="1"/>
        <s v="Health Hero, Inc" u="1"/>
        <s v="MOGUL" u="1"/>
        <s v="Travel Boss, Inc." u="1"/>
        <s v="NextSeed Management, LLC" u="1"/>
        <s v="Fulfillment Wealth Management" u="1"/>
        <s v="Just Interpretation LLC" u="1"/>
        <s v="Razorvision Consulting" u="1"/>
        <s v="Gallium Artistic Services" u="1"/>
        <s v="Children's Cause for Cancer Advocacy" u="1"/>
        <s v="Futurestay" u="1"/>
        <s v="Rise Vision USA Inc" u="1"/>
        <s v="The Working World Inc." u="1"/>
        <s v="Young &amp; Shand Inc" u="1"/>
        <s v="YS North America, Inc." u="1"/>
        <s v="ThinkHR Silver Client" u="1"/>
        <s v="Involvio" u="1"/>
        <s v="Grata Data" u="1"/>
        <s v="Talos International, Inc." u="1"/>
        <s v="DH Murray Architecture PLLC" u="1"/>
        <s v="LeafLink, Inc." u="1"/>
        <s v="Hymes &amp; Associates CPA, P.C." u="1"/>
        <s v="The Edge" u="1"/>
        <s v="Tweed Wolf" u="1"/>
        <s v="FTW Media, Inc" u="1"/>
        <s v="ICV Partners" u="1"/>
        <s v="Streamable" u="1"/>
        <s v="DAY Vision Marketing" u="1"/>
        <s v="Roswell Studios, LLC" u="1"/>
        <s v="Atmosphere Academy Public Charter School" u="1"/>
        <s v="iEARN-USA" u="1"/>
        <s v="Fortiac Corporation" u="1"/>
        <s v="Snappy Gifts" u="1"/>
        <s v="MouthWatch, LLC" u="1"/>
        <s v="Capsule Corporation" u="1"/>
        <s v="UIT Investing, Inc." u="1"/>
        <s v="GiveGab" u="1"/>
        <s v="StriveNine, LLC" u="1"/>
        <s v="Ellevate Network" u="1"/>
        <s v="2 Serve Solutions, Inc." u="1"/>
        <s v="Pocket Coach, Corporation" u="1"/>
        <s v="Blender Workspace" u="1"/>
        <s v="Indivisible Project" u="1"/>
        <s v="Mythic Virtual Reality" u="1"/>
        <s v="Art Bully Productions LLC" u="1"/>
        <s v="The Paris Review Foundation" u="1"/>
        <s v="Ronik Design LLC" u="1"/>
        <s v="Waterhouse Hayes LLC" u="1"/>
        <s v="Reliant Immune Diagnostics, Inc." u="1"/>
        <s v="Cloud to Street" u="1"/>
        <s v="Material" u="1"/>
        <s v="Blue Mesa Health Inc." u="1"/>
        <s v="Well+Good" u="1"/>
        <s v="Rise Through" u="1"/>
        <s v="Strong Arm Technologies" u="1"/>
        <s v="Bootstrap Software Partners LLC" u="1"/>
        <s v="Via TRM" u="1"/>
        <s v="AlwaysHired" u="1"/>
        <s v="True Signal LLC" u="1"/>
        <s v="Carmichael Psychology" u="1"/>
        <s v="Pendo,io, Inc." u="1"/>
        <s v="Cine Design Group, LLC" u="1"/>
        <s v="Greenworks Lending LLC" u="1"/>
        <s v="Gorham Convexity Strategies" u="1"/>
        <s v="The 100 Companies LLC" u="1"/>
        <s v="Burlesque Hall of Fame" u="1"/>
        <s v="UnderGroundHipHop.com, LLC" u="1"/>
        <s v="20x200 | Jen Bekman Projects" u="1"/>
        <s v="Venture 221B" u="1"/>
        <s v="MODX Systems, LLC" u="1"/>
        <s v="Open Networks, LLC" u="1"/>
        <s v="Mission Product Holdings Inc." u="1"/>
        <s v="Garance DorÃƒÂ© LLC" u="1"/>
        <s v="Frendel, Brown &amp; Weissman LLP" u="1"/>
        <s v="Bokksu" u="1"/>
        <s v="Farmraiser" u="1"/>
        <s v="Edie Parker LLC" u="1"/>
        <s v="Downtown Chiropractic, P.C" u="1"/>
        <s v="Slanted Studios" u="1"/>
        <s v="Next Caller, Inc" u="1"/>
        <s v="Captify" u="1"/>
        <s v="Handshake" u="1"/>
        <s v="Seva Inc." u="1"/>
        <s v="Visit.org" u="1"/>
        <s v="Rex Architecture" u="1"/>
        <s v="C. A. Goldberg, PLLC" u="1"/>
        <s v="Swift Kick" u="1"/>
        <s v="Eclipse Music Group, LLC" u="1"/>
        <s v="Referral Rock" u="1"/>
        <s v="CM DESIGN STUDIO, LLC" u="1"/>
        <s v="Shift Lab" u="1"/>
        <s v="RXM Creative" u="1"/>
        <s v="Amperon" u="1"/>
        <s v="Jolee Consultants" u="1"/>
        <s v="Maestro Filmworks" u="1"/>
        <s v="NYPT Health &amp; Rehab LLC" u="1"/>
        <s v="The Dialogue Group, LLC" u="1"/>
        <s v="Tekie Geek LLC" u="1"/>
        <s v="Soho Workspaces INC." u="1"/>
        <s v="BGASoft" u="1"/>
        <s v="DAS 42, LLC" u="1"/>
        <s v="StormHarbour Partners LP" u="1"/>
        <s v="Yonomi, Inc." u="1"/>
        <s v="Jumpsuit Tech Inc" u="1"/>
        <s v="Messari, Inc." u="1"/>
        <s v="Division of, LLC" u="1"/>
        <s v="SeamlessChex" u="1"/>
        <s v="SDA Inc." u="1"/>
        <s v="South Coast Surety Insurance Services LLC" u="1"/>
        <s v="Dog Park Labs, Inc." u="1"/>
        <s v="Medical Journal - Houston" u="1"/>
        <s v="Promethean IT" u="1"/>
        <s v="Grant Engineering" u="1"/>
        <s v="ProFormance Foods, Inc." u="1"/>
        <s v="GENIANS USA" u="1"/>
        <s v="Group Project" u="1"/>
        <s v="Breakout Studio" u="1"/>
        <s v="Small Stuff LLC" u="1"/>
        <s v="Indigo Design LLC." u="1"/>
        <s v="Two Bulls" u="1"/>
        <s v="LABELIUM CORP" u="1"/>
        <s v="Vente Privee USA Brands Inc." u="1"/>
        <s v="Dash Core Group Inc" u="1"/>
        <s v="Noteworth Inc." u="1"/>
        <s v="New York Metropolitan Reference and Research Library Agency" u="1"/>
        <s v="add.a.lingua" u="1"/>
        <s v="Evolve Health Group Inc" u="1"/>
        <s v="America Indivisible" u="1"/>
        <s v="6 SHORE ROAD" u="1"/>
        <s v="Hunt &amp; Gather Inc" u="1"/>
        <s v="10 1/2 Studios LLC" u="1"/>
        <s v="Korangy Publishing, Inc" u="1"/>
        <s v="Beekeeper Marketing, Inc." u="1"/>
        <s v="Craft Engineering Studio" u="1"/>
        <s v="Sylvia Rivera Law Project" u="1"/>
        <s v="Valo Ventures" u="1"/>
        <s v="CTZNWELL" u="1"/>
        <s v="Tilt Creative &amp; Production, LLC" u="1"/>
        <s v="Ad Vitam Insurance Services, Inc." u="1"/>
        <s v="Joveo" u="1"/>
        <s v="Milkshake Studio" u="1"/>
        <s v="Something Special Studios" u="1"/>
        <s v="CLIENT_249_4" u="1"/>
        <s v="Palmetto, Mollo, Molinaro &amp; Passarello LLP" u="1"/>
        <s v="Prudential Borrowing LLC" u="1"/>
        <s v="Michael Sokoloff, DDS, PLLC" u="1"/>
        <s v="Stories BK, LLC" u="1"/>
        <s v="TRIBECA DESIGN STUDIO LLC" u="1"/>
        <s v="Wingo, Inc." u="1"/>
        <s v="Summus Global" u="1"/>
        <s v="ePatientFinder, Inc" u="1"/>
        <s v="First Stop Health" u="1"/>
        <s v="Brander Group Inc." u="1"/>
        <s v="Style Hunter LLC" u="1"/>
        <s v="Cloud Pathfinder" u="1"/>
        <s v="SMARTMD Corporation" u="1"/>
        <s v="Biomatters Incorporated" u="1"/>
        <s v="Plum Print" u="1"/>
        <s v="RHINO LABS, INC" u="1"/>
        <s v="Atelier DorÃ© LLC" u="1"/>
        <s v="Fred &amp; Joanne Wilson" u="1"/>
        <s v="D.C. Power Supply, LLC" u="1"/>
        <s v="Babelfish Analytics, Inc." u="1"/>
        <s v="Kinexon Sports &amp; Media Inc." u="1"/>
        <s v="Fuel Digital, LLC" u="1"/>
        <s v="Kenco Services, LLC" u="1"/>
        <s v="CardStack Syndicate Inc." u="1"/>
        <s v="Anthemis Americas Corporation" u="1"/>
        <s v="TriGate Management LLC" u="1"/>
        <s v="FORCE Therapeutics, LLC" u="1"/>
        <s v="Enlightenment Research, LLC" u="1"/>
        <s v="Radish Lab" u="1"/>
        <s v="Merit Hill Capital, LP" u="1"/>
        <s v="The Learning by Giving Foundation Inc." u="1"/>
        <s v="Contract Administration Network International LLC" u="1"/>
        <s v="Shotzr, Inc." u="1"/>
        <s v="Rosenberg &amp; Chesnov, CPAâ€°Ã›Âªs LLP" u="1"/>
        <s v="Omni Federal" u="1"/>
        <s v="Wide Eye Creative" u="1"/>
        <s v="Aaron Halegua Consulting" u="1"/>
        <s v="Madwell" u="1"/>
        <s v="QxBranch" u="1"/>
        <s v="Charter Technology Solutions, LLC" u="1"/>
        <s v="And.B LLC" u="1"/>
        <s v="Reksee, Inc." u="1"/>
        <s v="Campus Properties LLC" u="1"/>
        <s v="Stocktwits" u="1"/>
        <s v="Field Wares, LLC" u="1"/>
        <s v="Huntersure, LLC" u="1"/>
        <s v="Neuroveda, PLLC" u="1"/>
        <s v="NewsWhip US Inc." u="1"/>
        <s v="Hair Ventures, LLC" u="1"/>
        <s v="Base Design" u="1"/>
        <s v="ZRG Partners LLC" u="1"/>
        <s v="Gigit, Inc." u="1"/>
        <s v="Overview Technology Solutions Inc." u="1"/>
        <s v="Fabrica Inc." u="1"/>
        <s v="Civic Hall" u="1"/>
        <s v="Casebook PBC" u="1"/>
        <s v="Sparrow Fund" u="1"/>
        <s v="Fleet Logistics, Inc" u="1"/>
        <s v="Palmer Schwartz Agency" u="1"/>
        <s v="LDR21 LLC" u="1"/>
        <s v="VA Loan Captain Inc" u="1"/>
        <s v="SUNDAY AFTERNOON" u="1"/>
        <s v="JustFix.nyc" u="1"/>
        <s v="Netsanity, inc." u="1"/>
        <s v="Lending Technologies Corporation" u="1"/>
        <s v="Detectica" u="1"/>
        <s v="Yamba Malawi, Inc" u="1"/>
        <s v="SpareMin" u="1"/>
        <s v="Obviously Social LLC" u="1"/>
        <s v="Zavala Law, PLLC" u="1"/>
        <s v="Mamava Inc" u="1"/>
        <s v="Smartegies" u="1"/>
        <s v="Team Labs, Inc." u="1"/>
        <s v="Mirer Mazzocchi Schalet Julien &amp; Chickedantz, PLLC" u="1"/>
        <s v="Ethis Communications" u="1"/>
        <s v="Innovation Department" u="1"/>
        <s v="Homer" u="1"/>
        <s v="Educate!" u="1"/>
        <s v="Ten Square" u="1"/>
        <s v="Fullsix, Inc." u="1"/>
        <s v="CommonWise Education, INC" u="1"/>
        <s v="ProLeiT Corp." u="1"/>
        <s v="Baron Fig, LLC" u="1"/>
        <s v="Alpha Vertex Inc." u="1"/>
        <s v="Blackbox Global Inc." u="1"/>
        <s v="CircleLink Health" u="1"/>
        <s v="AccuQuest Health Programs, Inc." u="1"/>
        <s v="IWD NY" u="1"/>
        <s v="Gear Patrol" u="1"/>
        <s v="AGILEANA L.C." u="1"/>
        <s v="My IT Department" u="1"/>
        <s v="TransitScreen" u="1"/>
        <s v="Von Gehr Luxury LLC" u="1"/>
        <s v="NarrativeCapitalPartners" u="1"/>
        <s v="timeshel" u="1"/>
        <s v="MIVA Solutions, LLC" u="1"/>
        <s v="Huemor" u="1"/>
        <s v="Indeco LLC" u="1"/>
        <s v="Global Justice Solutions" u="1"/>
        <s v="Wachsman PR LLC" u="1"/>
        <s v="Hazel Village LLC" u="1"/>
        <s v="Kvibe Productions, LLC" u="1"/>
        <s v="Standard Media Index" u="1"/>
        <s v="Timber Technologies, Inc." u="1"/>
        <s v="Diagram, LLC" u="1"/>
        <s v="ExecThread, Inc." u="1"/>
        <s v="The Medici Group" u="1"/>
        <s v="Uplevel Security" u="1"/>
        <s v="Cairn Labs, LLC" u="1"/>
        <s v="Lifespan International" u="1"/>
        <s v="Apollo Scheduling Co." u="1"/>
        <s v="Frigg Temp Name" u="1"/>
        <s v="Gruntwork" u="1"/>
        <s v="Sleepbox" u="1"/>
        <s v="QNY Creative" u="1"/>
        <s v="augeoBPM, Inc." u="1"/>
        <s v="Setton Consulting Inc." u="1"/>
        <s v="PostX API Inc (HireNurture)" u="1"/>
        <s v="ABW Medical" u="1"/>
        <s v="Fitbod, Inc." u="1"/>
        <s v="LoyaltyGenerator, Inc" u="1"/>
        <s v="Rung-UP" u="1"/>
        <s v="Wellth, Inc." u="1"/>
        <s v="Rainmaking Innovation Corp" u="1"/>
        <s v="Atto LLC" u="1"/>
        <s v="Azimuth1" u="1"/>
        <s v="Tlt Travel" u="1"/>
        <s v="Distillery Solutions" u="1"/>
        <s v="D K Jones Consulting, LLC" u="1"/>
        <s v="Envisagenics, Inc." u="1"/>
        <s v="The Opportunity Trust" u="1"/>
        <s v="Resource4Meetings, LLC" u="1"/>
        <s v="Clark" u="1"/>
        <s v="HowGood" u="1"/>
        <s v="Tap Projects Inc" u="1"/>
        <s v="PERCEPTION POINT US INC." u="1"/>
        <s v="Law Firm of Moumita Rahman, PLLC" u="1"/>
        <s v="Communiclique" u="1"/>
        <s v="Crypto Oracle Fund Management" u="1"/>
        <s v="Sixth Legions" u="1"/>
        <s v="Bespoke Post" u="1"/>
        <s v="Semantica Labs" u="1"/>
        <s v="The Fashion Class of Merrick Inc" u="1"/>
        <s v="RetroTax" u="1"/>
        <s v="Cambridge life brokerage LLC" u="1"/>
        <s v="Major League Hacking, Inc" u="1"/>
        <s v="Makeout" u="1"/>
        <s v="Trellis" u="1"/>
        <s v="Aqueducts Consulting LLC" u="1"/>
        <s v="YOU ME &amp; EVERYONE ELSE INC" u="1"/>
        <s v="Stretch USA Inc" u="1"/>
        <s v="Facet Systems, Inc" u="1"/>
        <s v="Rise Operations, Inc." u="1"/>
        <s v="Administrate Inc." u="1"/>
        <s v="Marcello de Peralta, PLLC" u="1"/>
        <s v="Metaverse Entertainment LLC" u="1"/>
        <s v="Boris Bidjan Saberi New York" u="1"/>
        <s v="Glow Concept LLC" u="1"/>
        <s v="thinkIT U.S. dba Mindera" u="1"/>
        <s v="The Financial Gym" u="1"/>
        <s v="Mill Hill Capital, LLC" u="1"/>
        <s v="Georgia Micro Enterprise Network" u="1"/>
        <s v="ELI Talks" u="1"/>
        <s v="Sefaria" u="1"/>
        <s v="Real Time Cases" u="1"/>
        <s v="Tribeca Venture Partners LLC" u="1"/>
        <s v="War on the Rocks" u="1"/>
        <s v="California Things Inc" u="1"/>
        <s v="Blend Marketing" u="1"/>
        <s v="Calavista Systems, Inc" u="1"/>
        <s v="Sendoso" u="1"/>
        <s v="Lulu Frost" u="1"/>
        <s v="Scala Computing" u="1"/>
        <s v="Gibson and Dehn LLC" u="1"/>
        <s v="CAF Employer, LLC" u="1"/>
        <s v="Speks" u="1"/>
        <s v="4LegalLeads" u="1"/>
        <s v="Syzygy 3 Inc." u="1"/>
        <s v="Secure Community Network, Inc." u="1"/>
        <s v="Ocrolus, Inc." u="1"/>
        <s v="Marchay" u="1"/>
        <s v="EBCFO LLC" u="1"/>
        <s v="Civil" u="1"/>
        <s v="SwipeSense" u="1"/>
        <s v="Moise Safra Center" u="1"/>
        <s v="Equality Equation" u="1"/>
        <s v="Green Grass Foods Inc" u="1"/>
        <s v="TrueBoots LLC" u="1"/>
        <s v="Vitek, Incorporated" u="1"/>
        <s v="Jones" u="1"/>
        <s v="PAVE Communications &amp; Consulting" u="1"/>
        <s v="Heyday" u="1"/>
        <s v="Smalls" u="1"/>
        <s v="Tenovos" u="1"/>
        <s v="DART Ventures, LLC" u="1"/>
        <s v="Ditto PR" u="1"/>
        <s v="Agility IO" u="1"/>
        <s v="Morsum LLC" u="1"/>
        <s v="BDEX, LLC" u="1"/>
        <s v="SimpleReach" u="1"/>
        <s v="Bright Group US Inc" u="1"/>
        <s v="Wethos" u="1"/>
        <s v="Moddern Marketing Services, LLC" u="1"/>
        <s v="life made simple" u="1"/>
        <s v="ClearChat, Inc." u="1"/>
        <s v="Wall &amp; Broadcast Productions" u="1"/>
        <s v="RxTE" u="1"/>
        <s v="38 Main Street EH LLC" u="1"/>
        <s v="Software Consulting Associates, Inc." u="1"/>
        <s v="Pathgather" u="1"/>
        <s v="Cloud9 LCS Holding LLC" u="1"/>
        <s v="Jade Mountain Partners" u="1"/>
        <s v="Cadence" u="1"/>
        <s v="FamilyAssets" u="1"/>
        <s v="Building Energy Exchange" u="1"/>
        <s v="School House" u="1"/>
        <s v="Stetson Worldwide" u="1"/>
        <s v="Johnson And McGreevy, Inc." u="1"/>
        <s v="Trakt" u="1"/>
        <s v="Blue Egg" u="1"/>
        <s v="Boredom Therapy LLC" u="1"/>
        <s v="Simple Technology Solutions Inc." u="1"/>
        <s v="Adam America LLC" u="1"/>
        <s v="Spruce Holdings Inc." u="1"/>
        <s v="Secular Student Alliance" u="1"/>
        <s v="SSI Strategy" u="1"/>
        <s v="Ms." u="1"/>
        <s v="Compound" u="1"/>
        <s v="Ultrabland Inc" u="1"/>
        <s v="Science Friday Initiative" u="1"/>
        <s v="Venwise" u="1"/>
        <s v="GroupSense" u="1"/>
        <s v="Media Staffing" u="1"/>
        <s v="Protex Partners LLC" u="1"/>
        <s v="AdGate Media NY Corp" u="1"/>
        <s v="BroadBranch Advisors" u="1"/>
        <s v="Hewitt &amp; Johnston Consultants Inc" u="1"/>
        <s v="Consulting Group International d/b/a Exous" u="1"/>
        <s v="GrandArmy" u="1"/>
        <s v="Bardlee Enterprises, LLC" u="1"/>
        <s v="Consumer Dynamics" u="1"/>
        <s v="Catalyst Software Corp" u="1"/>
        <s v="Bay Cap Partners, LLC" u="1"/>
        <s v="Hartley Holdings, LLC" u="1"/>
        <s v="Taste Buds Kitchen, LLC" u="1"/>
        <s v="Cadre, Inc." u="1"/>
        <s v="Translator" u="1"/>
        <s v="CargoTrans Inc." u="1"/>
        <s v="Decade Creative, Inc." u="1"/>
        <s v="Charleston Medical Associates" u="1"/>
        <s v="Swift Shift Inc" u="1"/>
        <s v="Altru Labs, Inc." u="1"/>
        <s v="Polarisoft LLC" u="1"/>
        <s v="Initiate Care Resources" u="1"/>
        <s v="Marsden Advisors" u="1"/>
        <s v="Atelier New York Architecture" u="1"/>
        <s v="FilmNation Entertainment, LLC" u="1"/>
        <s v="JRSK Inc dba Away" u="1"/>
        <s v="BlocPower" u="1"/>
        <s v="babylon" u="1"/>
        <s v="User Interviews" u="1"/>
        <s v="Fairygodboss" u="1"/>
        <s v="ADI Consulting" u="1"/>
        <s v="Cerium Technology" u="1"/>
        <s v="Quilinx LLC" u="1"/>
        <s v="infinity Network Solutions" u="1"/>
        <s v="Chain Consulting" u="1"/>
        <s v="Double Rich, Inc" u="1"/>
        <s v="Reason Brand Inc." u="1"/>
        <s v="Cryptonomic" u="1"/>
        <s v="Simplist Technologies Inc" u="1"/>
        <s v="Sarani, Inc." u="1"/>
        <s v="Broadview Real Estate Partners, LLC" u="1"/>
        <s v="Life.io" u="1"/>
        <s v="Loan Street" u="1"/>
        <s v="Sheep and Stone" u="1"/>
        <s v="CreativeMornings" u="1"/>
        <s v="Imperative Execution Inc." u="1"/>
        <s v="Tanooki Labs" u="1"/>
        <s v="Current Museum of Art" u="1"/>
        <s v="Sabio Environmental LLC" u="1"/>
        <s v="OpenFin Inc." u="1"/>
        <s v="Empower Energy Incorporated" u="1"/>
        <s v="IEX Group" u="1"/>
        <s v="Telbasis LLC" u="1"/>
        <s v="Sigma Surgical" u="1"/>
        <s v="The Jacky Winter Group LLC" u="1"/>
        <s v="Myro" u="1"/>
        <s v="MetaProp NYC" u="1"/>
        <s v="CDR Studio Architects, PC" u="1"/>
        <s v="Mile Square Insurance Agency" u="1"/>
        <s v="Clive" u="1"/>
        <s v="Shadow Box LLC" u="1"/>
        <s v="Harper Macaw Chocolate Boutique" u="1"/>
        <s v="Simple Capital Management" u="1"/>
        <s v="National Student Legal Defense Network" u="1"/>
        <s v="InnoVireo LLC" u="1"/>
        <s v="Sunset Solutions, Inc." u="1"/>
        <s v="Commonwealth Business Services Inc" u="1"/>
        <s v="Fizzics Group" u="1"/>
        <s v="Gotham Energy 360 LLC" u="1"/>
        <s v="LabMinds Inc" u="1"/>
        <s v="Concierge Live" u="1"/>
        <s v="Mented Cosmetics" u="1"/>
        <s v="Oasis Medical and Surgical Wellness Group, LLC" u="1"/>
        <s v="MedCircle Inc" u="1"/>
        <s v="Utopia The Agency" u="1"/>
        <s v="Mynukshuk" u="1"/>
        <s v="Warren Equity Partners" u="1"/>
        <s v="New Millennium Tours, Inc." u="1"/>
        <s v="Institute For Education Innovation" u="1"/>
        <s v="Blue Heron Research Partners LLC" u="1"/>
        <s v="Updater, Inc." u="1"/>
        <s v="Recurve Business Services, Inc." u="1"/>
        <s v="Metazoa" u="1"/>
        <s v="The Darien Group, LLC" u="1"/>
        <s v="We Got POP Inc." u="1"/>
        <s v="Focus Technology" u="1"/>
        <s v="Clare Inc." u="1"/>
        <s v="Andela" u="1"/>
        <s v="Staff Base" u="1"/>
        <s v="Invivo Brands" u="1"/>
        <s v="Civic Hall Labs, Inc." u="1"/>
        <s v="Goodrich" u="1"/>
        <s v="PD Management Holdings, Inc." u="1"/>
        <s v="Grind LLC" u="1"/>
        <s v="Coastal Facility Products" u="1"/>
        <s v="Giant Machines Software LLC" u="1"/>
        <s v="valueworks" u="1"/>
        <s v="Aquant" u="1"/>
        <s v="Prime Directive, Inc" u="1"/>
        <s v="Kima Communications LLC" u="1"/>
        <s v="COLLINS" u="1"/>
        <s v="Gemic Inc." u="1"/>
        <s v="Clean Air Lawn Care" u="1"/>
        <s v="Blue Label Solutions LLC" u="1"/>
        <s v="Allegra Kochman Architecture" u="1"/>
        <s v="Payability" u="1"/>
        <s v="Voltkix Corporation" u="1"/>
        <s v="enVerid Systems, Inc." u="1"/>
        <s v="Gramercy Post" u="1"/>
        <s v="Crossbeat New York LLC" u="1"/>
        <s v="Bumpers" u="1"/>
        <s v="Urban Us Management, LLC" u="1"/>
        <s v="Digital Space Studio, Inc." u="1"/>
        <s v="Advanced Therapy &amp; Performance" u="1"/>
        <s v="Purpose Company, LLC DBA Purpose Tea" u="1"/>
        <s v="DigitalBGA" u="1"/>
        <s v="Public Goods" u="1"/>
        <s v="MindMate Inc" u="1"/>
        <s v="Pop Chart Lab" u="1"/>
        <s v="Models.com, Inc." u="1"/>
        <s v="Verified Studios" u="1"/>
        <s v="Arlington Financial Consultants LLC" u="1"/>
        <s v="Net Theory Inc" u="1"/>
        <s v="SF Power Supply, LLC" u="1"/>
        <s v="Thora Capital, LLC" u="1"/>
        <s v="The Summit Series LLC" u="1"/>
        <s v="VNDLY Inc" u="1"/>
        <s v="ARInspect, Inc" u="1"/>
        <s v="Spin Development" u="1"/>
        <s v="Deskpass" u="1"/>
        <s v="Achieve, Inc." u="1"/>
        <s v="Godel Systems, Inc." u="1"/>
        <s v="HelpUsAdopt.org, Inc." u="1"/>
        <s v="OpenTent LLC" u="1"/>
        <s v="Tolar Systems Inc." u="1"/>
        <s v="Geostellar" u="1"/>
        <s v="Mass Lab Inc" u="1"/>
        <s v="NONETWORK LLC" u="1"/>
        <s v="Bandwagon" u="1"/>
        <s v="R.L. Brown Wealth Management" u="1"/>
        <s v="Onwelo" u="1"/>
        <s v="Income Discovery" u="1"/>
        <s v="HiThrive" u="1"/>
        <s v="Emerson Stone" u="1"/>
        <s v="LUCY TUPU LLC" u="1"/>
        <s v="Aperture Sound LLC" u="1"/>
        <s v="CECP" u="1"/>
        <s v="Saphyre Inc" u="1"/>
        <s v="Lindsay Barton Barrett LLC" u="1"/>
        <s v="Believers Stewardship Services, Inc." u="1"/>
        <s v="Digital Pavilion Electronics" u="1"/>
        <s v="Architizer" u="1"/>
        <s v="Conversocial" u="1"/>
        <s v="Alvin Ray, LLC" u="1"/>
        <s v="Addison Title Services" u="1"/>
        <s v="The Sill" u="1"/>
        <s v="eevo" u="1"/>
        <s v="Greencard Pictures LLC" u="1"/>
        <s v="Continental Fan Manufacturing Inc." u="1"/>
        <s v="BLD Architecture DPC" u="1"/>
        <s v="Sports Medicine at Chelsea" u="1"/>
        <s v="Qubit Inc" u="1"/>
        <s v="P.A.R.S. Medical P.C." u="1"/>
        <s v="PromoSuite" u="1"/>
        <s v="Intec Pharma Inc." u="1"/>
        <s v="Summit Management, LLC" u="1"/>
        <s v="Teem Ventures LLC" u="1"/>
        <s v="Advanced Learning Partnerships, Inc." u="1"/>
        <s v="Morris &amp; Company" u="1"/>
        <s v="Garance DorÃŒÂ© LLC" u="1"/>
        <s v="Amify" u="1"/>
        <s v="CaterCow Inc." u="1"/>
        <s v="Eddie Davis DPM PLLC" u="1"/>
        <s v="Neurogene" u="1"/>
        <s v="Werk" u="1"/>
        <s v="Campaign for Youth Justice" u="1"/>
        <s v="Kiss Cathcart" u="1"/>
        <s v="BillFixers, LLC" u="1"/>
        <s v="Pilar Moscoso P.A." u="1"/>
        <s v="Picture Farm II, LLC" u="1"/>
        <s v="Teachable, Inc." u="1"/>
        <s v="Union Square Ventures LLC" u="1"/>
        <s v="EquiFi Corporation PBC" u="1"/>
        <s v="JA Personal Medical Care Practice" u="1"/>
        <s v="Voray" u="1"/>
        <s v="FCLT Global" u="1"/>
        <s v="RZI Consulting" u="1"/>
        <s v="the Lala Media Group Inc." u="1"/>
        <s v="Girardville Miners' Cooperative" u="1"/>
        <s v="Slang Inc." u="1"/>
        <s v="Advocate Genetics" u="1"/>
        <s v="mindbodygreen" u="1"/>
        <s v="Lark Security, LLC" u="1"/>
        <s v="Bolt Logistics, LLC" u="1"/>
        <s v="ThinkHR Gold Client" u="1"/>
        <s v="ConBody by Coss Athletics" u="1"/>
        <s v="Glossier, Inc." u="1"/>
        <s v="Growth Collective LLC" u="1"/>
        <s v="Cynergy Physical Therapy PC, PLLC" u="1"/>
        <s v="Recognize" u="1"/>
        <s v="The MBA Group, LLC" u="1"/>
        <s v="Medialyze Marketing" u="1"/>
        <s v="Young Judaea Camp Sprout Lake" u="1"/>
        <s v="C2 Labs, Inc." u="1"/>
        <s v="FitBliss Inc." u="1"/>
        <s v="188 Online LLC" u="1"/>
        <s v="Yapp, Inc." u="1"/>
        <s v="VENTANA 3D LLC" u="1"/>
        <s v="Jetty National, Inc." u="1"/>
        <s v="YDC Inc" u="1"/>
        <s v="Xperii Corp." u="1"/>
        <s v="7Nine Inc" u="1"/>
        <s v="Octane Lending" u="1"/>
        <s v="Apple Capital Group, Inc." u="1"/>
        <s v="Powers PR LLC" u="1"/>
        <s v="blueshovel, LLC" u="1"/>
        <s v="Crated, inc." u="1"/>
        <s v="Faherty Brand Nantucket LLC" u="1"/>
        <s v="New York City Urban Debate League" u="1"/>
        <s v="LR Paris LLC" u="1"/>
        <s v="Paragon Intel" u="1"/>
        <s v="Trisource, LLC" u="1"/>
        <s v="Cetus Labs Florida LLC" u="1"/>
        <s v="FaceLift.com LLC" u="1"/>
        <s v="Zeva Inc" u="1"/>
        <s v="Callisto" u="1"/>
        <s v="REX Computing" u="1"/>
        <s v="PatientFinder Inc" u="1"/>
        <s v="Entheos Audiology Cooperative, Inc" u="1"/>
        <s v="Friend or Fraud INC" u="1"/>
        <s v="Ararat Capital" u="1"/>
        <s v="CLIENT_249_5" u="1"/>
        <s v="Rubicon Talent" u="1"/>
        <s v="The SEEP Network" u="1"/>
        <s v="Jun Group Productions, LLC" u="1"/>
        <s v="BeneStream" u="1"/>
        <s v="Pai Technology Inc." u="1"/>
        <s v="LIVE AUCTIONEERS LLC" u="1"/>
        <s v="Orion Technology Consulting, LLC" u="1"/>
        <s v="Spherely LLC" u="1"/>
        <s v="Meehle &amp; Jay P.A." u="1"/>
        <s v="Virtual Health" u="1"/>
        <s v="New Media Advocacy Project" u="1"/>
        <s v="TRUEPIC Inc" u="1"/>
        <s v="Theory and Principle" u="1"/>
        <s v="Adam David Schaffner, M.D., P.L.L.C. dba Plastic Surgery Institute of New York" u="1"/>
        <s v="Novo" u="1"/>
        <s v="T3 Sixty LLC" u="1"/>
        <s v="Kelly Haines &amp; Associates" u="1"/>
        <s v="DECA" u="1"/>
        <s v="Tirso Lighting Inc" u="1"/>
        <s v="GroundBreaker Technologies" u="1"/>
        <s v="Techfinance Advisory LLC" u="1"/>
        <s v="ASSOCIATION OF AIR MEDICAL SERVICES" u="1"/>
        <s v="Ideate, LLC" u="1"/>
        <s v="Student.com" u="1"/>
        <s v="Sedation Specialists of New York" u="1"/>
        <s v="Karlssonwilker" u="1"/>
        <s v="Kent Digital, Inc." u="1"/>
        <s v="Kimberlite Holdings INC" u="1"/>
        <s v="Stafford Capital Partners Inc." u="1"/>
        <s v="WBP US INC" u="1"/>
        <s v="NoHo Solutions, Inc." u="1"/>
        <s v="Clive Christian Perfume LLP" u="1"/>
        <s v="Residential Homes for Rent LLC" u="1"/>
        <s v="Fuzz Productions" u="1"/>
        <s v="Saguaro Strategies" u="1"/>
        <s v="OAKNYC Apparel Co LP" u="1"/>
        <s v="Imaginary Venture Capital Partners Management, L.P." u="1"/>
        <s v="QuadPay" u="1"/>
        <s v="Incentax, LLC" u="1"/>
        <s v="Kill Screen Media Inc." u="1"/>
        <s v="Project Kesher" u="1"/>
        <s v="BingeGiving" u="1"/>
        <s v="ScaleX, Inc." u="1"/>
        <s v="Ultravirgo Creative LLC" u="1"/>
        <s v="Debitize" u="1"/>
        <s v="Betterer Foods, Inc." u="1"/>
        <s v="Viral Philanthropy Inc." u="1"/>
        <s v="The Day" u="1"/>
        <s v="Baker Technologies" u="1"/>
        <s v="Boring But Great, Inc." u="1"/>
        <s v="Simple Technology Solutions, Inc." u="1"/>
        <s v="Northern Right Capital Management, LP" u="1"/>
        <s v="Playa Products Inc." u="1"/>
        <s v="Educational Solutions Consulting" u="1"/>
        <s v="Conversano Associates, Inc." u="1"/>
        <s v="Vivastream INC" u="1"/>
        <s v="RWS Entertainment Group" u="1"/>
        <s v="Undefined Labs Inc." u="1"/>
        <s v="Kirschbaum Development Group, LLC" u="1"/>
        <s v="GRP21" u="1"/>
        <s v="Bridge IT Consulting" u="1"/>
        <s v="Oasis Medical and Surgical Wellness Group LLC" u="1"/>
        <s v="CaliberMind" u="1"/>
        <s v="Blueliner Marketing" u="1"/>
        <s v="BlueStar Global Investors, LLC" u="1"/>
        <s v="Evolution Nature Corp." u="1"/>
        <s v="Frederick Tang Architecture" u="1"/>
        <s v="MedAnswers, Inc" u="1"/>
        <s v="Three Point Strategies" u="1"/>
        <s v="J3PM" u="1"/>
        <s v="Cerium Technology LLC" u="1"/>
        <s v="Alpine Global Management, LLC" u="1"/>
        <s v="Baroukh and Robert E Kodsi, MD PC" u="1"/>
        <s v="Budnitz Bicycles" u="1"/>
        <s v="FinCo Services, Inc." u="1"/>
        <s v="Morty" u="1"/>
        <s v="Weller Media Agency LP" u="1"/>
        <s v="J. Solomon and Associates" u="1"/>
        <s v="Ashby Law" u="1"/>
        <s v="Forge3, Ltd." u="1"/>
        <s v="BurnAlong" u="1"/>
        <s v="Lickability" u="1"/>
        <s v="Blackstream, LLC" u="1"/>
        <s v="Experlogix, Inc." u="1"/>
        <s v="Cantata Media, LLC" u="1"/>
        <s v="BentoBox" u="1"/>
        <s v="Radius8, Inc" u="1"/>
        <s v="ImageThink" u="1"/>
        <s v="Splash" u="1"/>
        <s v="Ode a la ROSE, Inc" u="1"/>
        <s v="Wainscot Media LLC" u="1"/>
        <s v="Optica Technologies Incorporated" u="1"/>
        <s v="Clearfire, Inc." u="1"/>
        <s v="VeriSolutions, LLC" u="1"/>
        <s v="Grace Blue" u="1"/>
        <s v="Baboon" u="1"/>
        <s v="Pypestream" u="1"/>
        <s v="CartoDB Inc." u="1"/>
        <s v="ROLI USA INC" u="1"/>
        <s v="Grind Broadway" u="1"/>
        <s v="NeWAY Cities LLC" u="1"/>
        <s v="Properties In Town" u="1"/>
        <s v="hugoWREN Consulting" u="1"/>
        <s v="ODYSIA" u="1"/>
        <s v="Skubana LLC" u="1"/>
        <s v="Wikiup, LLC" u="1"/>
        <s v="ManageNet Inc." u="1"/>
        <s v="URBAN DIGITAL SOLUTIONS, LTD" u="1"/>
        <s v="Code Ocean Inc." u="1"/>
        <s v="Corner Media Inc" u="1"/>
        <s v="Eventus Analytics, LLC" u="1"/>
        <s v="Stillwell Partners LLC" u="1"/>
        <s v="Glow Concept Inc" u="1"/>
        <s v="Zipmark" u="1"/>
        <s v="wine n dine llc" u="1"/>
        <s v="Avatar New York LLC" u="1"/>
        <s v="GrandView Technology" u="1"/>
        <s v="JUST Capital" u="1"/>
        <s v="Lisan Finance Inc" u="1"/>
        <s v="Atelier Institute LLC" u="1"/>
        <s v="HyperHQ Inc." u="1"/>
        <s v="Pig Apple LLC" u="1"/>
        <s v="National Foundation for Credit Counseling" u="1"/>
        <s v="PolicyFuel" u="1"/>
        <s v="Armed Mind Inc." u="1"/>
        <s v="JLC Law" u="1"/>
        <s v="OneButton" u="1"/>
        <s v="Penrose Hill, Limited" u="1"/>
        <s v="Epsilon Asset Management, LLC" u="1"/>
        <s v="Moment, Inc" u="1"/>
        <s v="Growth Rock" u="1"/>
        <s v="Pilot Benefits Group LLC" u="1"/>
        <s v="Rockland County Pride Center" u="1"/>
        <s v="Vale Insurance Partners, LLC" u="1"/>
        <s v="Backtrace I/O" u="1"/>
        <s v="RSE Markets, Inc." u="1"/>
        <s v="HashChain Mining, LLC" u="1"/>
        <s v="Overtime" u="1"/>
        <s v="Julianna Bass, Inc" u="1"/>
        <s v="Silicon Valley Labs" u="1"/>
        <s v="Mulberry Technology Inc" u="1"/>
        <s v="Squire" u="1"/>
        <s v="Movi Healthcare, LLC" u="1"/>
        <s v="MINI Business Innovation LLC" u="1"/>
        <s v="We Own It" u="1"/>
        <s v="P1 Capital LLC" u="1"/>
        <s v="Great Jones Street" u="1"/>
        <s v="Rosslyn Ridge Development Corporation" u="1"/>
        <s v="Nipren" u="1"/>
        <s v="Hidden Grounds" u="1"/>
        <s v="Very Good Ventures LLC" u="1"/>
        <s v="Misen Inc." u="1"/>
        <s v="Kalderos LLC" u="1"/>
        <s v="Software Built By Design, Inc." u="1"/>
        <s v="Atlas Practice Management" u="1"/>
        <s v="Walks LLC" u="1"/>
        <s v="Hue&amp;Cry LLC" u="1"/>
        <s v="Trail of Bits" u="1"/>
        <s v="Beeswax" u="1"/>
        <s v="Engine Digital" u="1"/>
        <s v="Guru Fantasy Reports, Inc." u="1"/>
        <s v="Seed Communications LLC dba Sub Rosa" u="1"/>
        <s v="Float" u="1"/>
        <s v="Token Payments" u="1"/>
        <s v="Micro Labs USA Inc" u="1"/>
        <s v="Corey M. Shapiro, Esq." u="1"/>
        <s v="Canny Bowen" u="1"/>
        <s v="jEugene, Inc." u="1"/>
        <s v="Results Junkies" u="1"/>
        <s v="Lighthouse Creative Works Company" u="1"/>
        <s v="Advanced Cleanup Technologies, Inc." u="1"/>
        <s v="CoEdition" u="1"/>
        <s v="NoNameYet Studio LLC" u="1"/>
        <s v="Embark Veterinary, Inc" u="1"/>
        <s v="Home Captain Realty Inc." u="1"/>
        <s v="Peace Direct" u="1"/>
        <s v="GipsyBot, Inc." u="1"/>
        <s v="Primorus Worldwide" u="1"/>
        <s v="AIIR Consulting LLC" u="1"/>
        <s v="Edgemont Capital Partners" u="1"/>
        <s v="Life Bright LLC" u="1"/>
        <s v="Wheelhouse Creative, Inc." u="1"/>
        <s v="One Health Insights" u="1"/>
        <s v="Empire Startups" u="1"/>
        <s v="ATD Partners, LLC" u="1"/>
        <s v="Quantum Wireless LLC" u="1"/>
        <s v="Nexhealth" u="1"/>
        <s v="DalyGonzalez LLC" u="1"/>
        <s v="Portfolioshop Inc" u="1"/>
        <s v="ReKTGlobal, Inc." u="1"/>
        <s v="BoardRounds, Inc." u="1"/>
        <s v="Buckley Hall Events" u="1"/>
        <s v="Tangerine Lord, Inc. dba Tangerine" u="1"/>
        <s v="Lucus Advisors LLC" u="1"/>
        <s v="Evolution of Medicine" u="1"/>
        <s v="Kaliber Labs" u="1"/>
        <s v="FounderTherapy" u="1"/>
        <s v="PayPerks, Inc." u="1"/>
        <s v="Anivive Lifesciences, Inc." u="1"/>
        <s v="Impossible America Corp." u="1"/>
        <s v="BenRevo" u="1"/>
        <s v="FIX Flyer LLC" u="1"/>
        <s v="sambelsky.com" u="1"/>
        <s v="The (A)Lyst Group, LLC" u="1"/>
        <s v="Brllnt" u="1"/>
        <s v="Wahed Invest LLC." u="1"/>
        <s v="Empirico" u="1"/>
        <s v="Govadapt LLC" u="1"/>
        <s v="Juice Labs LLC" u="1"/>
        <s v="J + O Firm, PLLC" u="1"/>
        <s v="Strova" u="1"/>
        <s v="Western NRG, Inc." u="1"/>
        <s v="Ailanthus Capital Management, LP" u="1"/>
        <s v="Comnplus, Inc." u="1"/>
        <s v="Skillist Co." u="1"/>
        <s v="ACP Communities" u="1"/>
        <s v="Bennett Midland" u="1"/>
        <s v="Union Realtime LLC" u="1"/>
        <s v="JRJ Global Services, LLC" u="1"/>
        <s v="Voro" u="1"/>
        <s v="REDS Realty &amp; Associates LLC" u="1"/>
        <s v="Emerge America" u="1"/>
        <s v="Healthy Bytes" u="1"/>
        <s v="eponym Inc." u="1"/>
        <s v="Katon Direct" u="1"/>
        <s v="FollowUp Health Inc" u="1"/>
        <s v="bowmo" u="1"/>
        <s v="Modern Mast Corporation" u="1"/>
        <s v="LifeCo" u="1"/>
        <s v="Synpulse USA Inc." u="1"/>
        <s v="Stylitics" u="1"/>
        <s v="DeansList" u="1"/>
        <s v="Ironpaper, Inc." u="1"/>
        <s v="Gradient Metrics" u="1"/>
        <s v="Palisade Capital Management, L.L.C." u="1"/>
        <s v="Vestwell Holdings, Inc" u="1"/>
        <s v="LaborX" u="1"/>
        <s v="Louis-Dreyfus Family Office LLC" u="1"/>
        <s v="E.M. Rose Group LLC d.b.a Rose Digital" u="1"/>
        <s v="Entraspan Inc." u="1"/>
        <s v="Peller and Company, LLC" u="1"/>
        <s v="Urbanspace" u="1"/>
        <s v="Sawhorse Media, LLC" u="1"/>
        <s v="Computer Advice and Services" u="1"/>
        <s v="Solid and Striped" u="1"/>
        <s v="Thomas &amp; Blood LLC" u="1"/>
        <s v="SimpleHealth Ventures Inc. DBA CredSimple" u="1"/>
        <s v="GEER" u="1"/>
        <s v="Xariable, Inc." u="1"/>
        <s v="Corridor Services, Inc." u="1"/>
        <s v="Urbanspace - tFood Hall Enterprises" u="1"/>
        <s v="Jemurai" u="1"/>
        <s v="AR Copley, LLC" u="1"/>
        <s v="Cognitive ToyBox" u="1"/>
        <s v="Billion Dollar Boy" u="1"/>
        <s v="Margaux New York, LLC" u="1"/>
        <s v="Tula" u="1"/>
        <s v="MorrisCore" u="1"/>
        <s v="Nooklyn Inc." u="1"/>
        <s v="Reboot Design., LLC" u="1"/>
        <s v="Squakr" u="1"/>
        <s v="Riot New Media Group" u="1"/>
        <s v="Natural Habitats, Inc." u="1"/>
        <s v="Everside Capital Partners, LLC" u="1"/>
        <s v="Gate Labs, Inc." u="1"/>
        <s v="9Fold" u="1"/>
        <s v="Shon Urbas" u="1"/>
        <s v="Sleeping Giant Studios" u="1"/>
        <s v="AAC Live" u="1"/>
        <s v="Vann Alexandra" u="1"/>
        <s v="CustomVine Corp." u="1"/>
        <s v="Airtable" u="1"/>
        <s v="Lucid LLC" u="1"/>
        <s v="Smartling" u="1"/>
        <s v="Qubist Labs Inc." u="1"/>
        <s v="Franklin Mobile Inc" u="1"/>
        <s v="ReactiveOps, Inc." u="1"/>
        <s v="Fabric Branding, LLC" u="1"/>
        <s v="Prabal Gurung, LLC" u="1"/>
        <s v="LRG Marketing Communications Inc." u="1"/>
        <s v="Whalebone Project, LLC" u="1"/>
        <s v="Node40" u="1"/>
        <s v="Rollbar" u="1"/>
        <s v="Samsa Technologies Inc" u="1"/>
        <s v="Quintus Partners LLC" u="1"/>
        <s v="Driftaway Coffee" u="1"/>
        <s v="Margin Labs Inc." u="1"/>
        <s v="York and Chapel" u="1"/>
        <s v="Onsite Project Consulting, LLC" u="1"/>
        <s v="Friends of BQX" u="1"/>
        <s v="Shorewood Real Estate Group LLC" u="1"/>
        <s v="OneKind, LLC" u="1"/>
        <s v="Grid Ventures" u="1"/>
        <s v="OWL NYC" u="1"/>
        <s v="Jersey Homes" u="1"/>
        <s v="Cedarview Capital Management, LP" u="1"/>
        <s v="Symbiosis Educational Consultants" u="1"/>
        <s v="Bella Tunno" u="1"/>
        <s v="Scheimpflug" u="1"/>
        <s v="zynbit.com" u="1"/>
        <s v="Shillington School" u="1"/>
        <s v="WorkOf" u="1"/>
        <s v="Laoch Associates" u="1"/>
        <s v="Summit Securities Group, LLC" u="1"/>
        <s v="Petline" u="1"/>
        <s v="Elite Eats, LLC" u="1"/>
        <s v="Sparky and Hollywood" u="1"/>
        <s v="venpath" u="1"/>
        <s v="Ense Inc." u="1"/>
        <s v="Appeon Inc." u="1"/>
        <s v="Effective Data, Inc." u="1"/>
        <s v="Young Judaea Camp Tel Yehudah, Inc." u="1"/>
        <s v="GlamDerm - Gramercy Laser and Medical Dermatology" u="1"/>
        <s v="Remix Medical" u="1"/>
        <s v="BotFactory, Inc." u="1"/>
        <s v="SOLV Risk Solutions, LLC" u="1"/>
        <s v="Harper Macaw" u="1"/>
        <s v="The Brenn-White Group" u="1"/>
        <s v="Rxperts Pharmacy  Chicago LLC" u="1"/>
        <s v="SUNNIVA Super Coffee" u="1"/>
        <s v="American Robotics, Inc." u="1"/>
        <s v="Treble Media, Inc." u="1"/>
        <s v="Watt Inc" u="1"/>
        <s v="Acend, Inc" u="1"/>
        <s v="Koneksa Health" u="1"/>
        <s v="Poets &amp; Writers, Inc." u="1"/>
        <s v="Radiant Skin Dermatology and Laser" u="1"/>
        <s v="BUBL, inc." u="1"/>
        <s v="Sea to Table" u="1"/>
        <s v="Blue Chalk Media" u="1"/>
        <s v="Provided IT, LLC" u="1"/>
        <s v="Valuation Shop, Inc." u="1"/>
        <s v="Katal Center for Health, Equity, and Justice" u="1"/>
        <s v="Obsess" u="1"/>
        <s v="Digital Turf" u="1"/>
        <s v="FC Languages Inc" u="1"/>
        <s v="Unlearn.AI, Inc." u="1"/>
        <s v="UPG Solutions LLC" u="1"/>
        <s v="Health Platforms, Inc." u="1"/>
        <s v="Renovata Partners" u="1"/>
        <s v="SCOPE Art Fair Inc." u="1"/>
        <s v="Context America, Inc." u="1"/>
        <s v="CoverWallet, Inc." u="1"/>
        <s v="DigiPunk, LLC" u="1"/>
        <s v="Catch New York" u="1"/>
        <s v="B9 Beverages Inc" u="1"/>
        <s v="Agents of Efficiency, Inc." u="1"/>
        <s v="Parakeet Communications, Inc." u="1"/>
        <s v="wilyfoxx" u="1"/>
        <s v="xFormEnablers Inc." u="1"/>
        <s v="Shareablee, Inc." u="1"/>
        <s v="Eden Health" u="1"/>
        <s v="Mapos LLC" u="1"/>
        <s v="Kinvolved, Inc." u="1"/>
        <s v="TrustLabs, Inc." u="1"/>
        <s v="Tent Collective Inc" u="1"/>
        <s v="Interbiz Consulting, LLC" u="1"/>
        <s v="Thriveplan" u="1"/>
        <s v="SurvJustice" u="1"/>
        <s v="BinaryGlyphs Inc." u="1"/>
        <s v="Cable Management Solutions, Inc. - Snake Tray" u="1"/>
        <s v="Scoro Software Inc" u="1"/>
        <s v="BrooklynWorks at 159 LLC" u="1"/>
        <s v="Rollio, Inc." u="1"/>
        <s v="Princeville Global" u="1"/>
        <s v="Precision Nutrition" u="1"/>
        <s v="Comet ML" u="1"/>
        <s v="Eighty2degrees LLC" u="1"/>
        <s v="Space Exploration Design" u="1"/>
        <s v="Limbik Inc" u="1"/>
        <s v="Mental Health Data Services" u="1"/>
        <s v="Digital Training &amp; Designs, Inc." u="1"/>
        <s v="The Smilist Management" u="1"/>
        <s v="Sabel &amp; Oplinger, CPA, PC" u="1"/>
        <s v="Dynamic Management Associates" u="1"/>
        <s v="Widget Brain" u="1"/>
        <s v="AD60 Agency LLC" u="1"/>
        <s v="Transparency Life Sciences, Inc." u="1"/>
        <s v="Cove" u="1"/>
        <s v="Cindat USA LLC" u="1"/>
        <s v="Mosaic Research" u="1"/>
        <s v="swyMed Incorporated" u="1"/>
        <s v="Packlane" u="1"/>
        <s v="MediaCraft LLC" u="1"/>
        <s v="Cogent Entertainment Marketing" u="1"/>
        <s v="The Terri &amp; Sandy Solution LLC" u="1"/>
        <s v="Genome" u="1"/>
        <s v="All In Bits" u="1"/>
        <s v="Phenom.com LLC" u="1"/>
        <s v="Vcheck Global LLC" u="1"/>
        <s v="The Expert Institute" u="1"/>
        <s v="Embleema" u="1"/>
        <s v="Nation Design Partners" u="1"/>
        <s v="Fleming Family Insurance Agency" u="1"/>
        <s v="ReformIS" u="1"/>
        <s v="A24 Studios" u="1"/>
        <s v="Showfields Inc." u="1"/>
        <s v="Solvrisk Solutions" u="1"/>
        <s v="Hendley Trading LLC" u="1"/>
        <s v="Atlantis" u="1"/>
        <s v="The Bastille Agency, LLC" u="1"/>
        <s v="The Sneakers Agency, LLC" u="1"/>
        <s v="WoodWing USA Inc" u="1"/>
        <s v="The Participation Agency" u="1"/>
        <s v="Manhattan Commercial Capital, Inc." u="1"/>
        <s v="Infuse Media" u="1"/>
        <s v="Abode, Inc. (dba Moved)" u="1"/>
        <s v="Intermedia Labs, Inc." u="1"/>
        <s v="Chelsea Eye Ophthalmology, PLLC" u="1"/>
        <s v="Chango &amp; Co." u="1"/>
        <s v="Post Social, Inc." u="1"/>
        <s v="Manhattan Physio Group" u="1"/>
        <s v="vsmith1@pm-unlimited.com" u="1"/>
        <s v="Lush Life Productions, inc." u="1"/>
        <s v="Trifecta Health Medical P.C." u="1"/>
        <s v="Luminopia" u="1"/>
        <s v="Fleet Smith" u="1"/>
        <s v="Ruby Together" u="1"/>
        <s v="Travel eSolutions, LLC" u="1"/>
        <s v="RFN B LLC" u="1"/>
        <s v="KidPass Inc." u="1"/>
        <s v="Elite Media LLC" u="1"/>
        <s v="Pad Squad LLC" u="1"/>
        <s v="smblytics llc" u="1"/>
        <s v="Sigray, Inc." u="1"/>
        <s v="PCA Partners LLC" u="1"/>
        <s v="Mohr Collaborative LLC" u="1"/>
        <s v="Development Resource Group of NY Inc." u="1"/>
        <s v="Relevant Healthcare Technologies, Inc." u="1"/>
        <s v="Emissary" u="1"/>
        <s v="Apples and Oranges Arts" u="1"/>
        <s v="Cultural Infinity LLC" u="1"/>
        <s v="dCentralized Systems LLC" u="1"/>
        <s v="Dukas Linden Public Relations" u="1"/>
        <s v="FORTÃ‹" u="1"/>
        <s v="DojoMojo" u="1"/>
        <s v="Impraise Inc" u="1"/>
        <s v="Listings Project" u="1"/>
        <s v="Advocates International" u="1"/>
        <s v="Mercato.com" u="1"/>
        <s v="Royal Heritage Home LLC" u="1"/>
        <s v="ProofPort" u="1"/>
        <s v="AMIRI" u="1"/>
        <s v="IntellaTriage, Inc." u="1"/>
        <s v="Baremetrics" u="1"/>
        <s v="Sigma Ratings, Inc." u="1"/>
        <s v="Buro Ehring Engineering" u="1"/>
        <s v="Zapp360" u="1"/>
        <s v="Sideways, Inc." u="1"/>
        <s v="Asymptote Architecture" u="1"/>
        <s v="Bespoke Surgical" u="1"/>
        <s v="DANNIJO" u="1"/>
        <s v="Adore Me" u="1"/>
        <s v="PayLoadz Inc" u="1"/>
        <s v="Transmitter Media" u="1"/>
        <s v="Tribute" u="1"/>
        <s v="Autoscribe Informatics, Inc." u="1"/>
        <s v="Cambridge Cloud Partners DBA CloudAnswers" u="1"/>
        <s v="Shelfmint Inc" u="1"/>
        <s v="Terminal B LLC" u="1"/>
        <s v="Foundershield LLC" u="1"/>
        <s v="Fieldforce" u="1"/>
        <s v="LUXTECH, LLC" u="1"/>
        <s v="Sadick Dermatology" u="1"/>
        <s v="Hungry Studio" u="1"/>
        <s v="Solutions LLC" u="1"/>
        <s v="Turquoise Life, LLC" u="1"/>
        <s v="Faherty Brand Bleecker Street" u="1"/>
        <s v="OPS-FUEL Inc" u="1"/>
        <s v="Bar None Technologies" u="1"/>
        <s v="Syzygy 3, Inc." u="1"/>
        <s v="Alliant Content" u="1"/>
        <s v="Excursionist LLC" u="1"/>
        <s v="East Photographic Inc" u="1"/>
        <s v="Evermay Consulting Group" u="1"/>
        <s v="Pura Vida Investments, LLC" u="1"/>
        <s v="Unacast, Inc." u="1"/>
        <s v="188 TRIBECA LLC" u="1"/>
        <s v="iReverse Home Loans, Corporation" u="1"/>
        <s v="Propellr LLC" u="1"/>
        <s v="Vert Digital" u="1"/>
        <s v="McAlinden Associates, Inc." u="1"/>
        <s v="Jumprope" u="1"/>
        <s v="Agile Gurus" u="1"/>
        <s v="CLIENT_249_6" u="1"/>
        <s v="Holderness &amp; Bourne, LLC" u="1"/>
        <s v="TOJOY USA LLC" u="1"/>
        <s v="Sonenshine Partners" u="1"/>
        <s v="Beheld 3D" u="1"/>
        <s v="Resnicow and Associates Inc." u="1"/>
        <s v="Join Chief" u="1"/>
        <s v="Careportal, Inc." u="1"/>
        <s v="Kentshire Galleries, Ltd." u="1"/>
        <s v="ghost robot" u="1"/>
        <s v="JAMES Development" u="1"/>
        <s v="Capodagli Property Company" u="1"/>
        <s v="Northern Westchester Orthodontics PC" u="1"/>
        <s v="Brikit Inc." u="1"/>
        <s v="EnsoData, Inc." u="1"/>
        <s v="Dropel" u="1"/>
        <s v="AdmitSee" u="1"/>
        <s v="Coinvest" u="1"/>
        <s v="ODM Services Inc." u="1"/>
        <s v="The Credit Junction, LLC" u="1"/>
        <s v="Arlington Partnership for Affordable Housing" u="1"/>
        <s v="BowTie" u="1"/>
        <s v="Nomadic Matt, Inc" u="1"/>
        <s v="Pivotal Physical Therapy" u="1"/>
        <s v="SureDone" u="1"/>
        <s v="Design Extensions" u="1"/>
        <s v="The Sage Project, Inc." u="1"/>
        <s v="Aquicore" u="1"/>
        <s v="JPSD Partners" u="1"/>
        <s v="Finsight Group, Inc." u="1"/>
        <s v="MENTIS" u="1"/>
        <s v="Abaci-US, Inc." u="1"/>
        <s v="BioLite, Inc." u="1"/>
        <s v="Putu, LLC" u="1"/>
        <s v="Protein Inc." u="1"/>
        <s v="Hysell Wagner LLC" u="1"/>
        <s v="Seleni House Foundation Inc." u="1"/>
        <s v="Smart Alec" u="1"/>
        <s v="Recom Farmhouse Inc" u="1"/>
        <s v="Scroll" u="1"/>
        <s v="SEED Homes, Inc" u="1"/>
        <s v="Longneck &amp; Thunderfoot, LLC" u="1"/>
        <s v="Panamplify" u="1"/>
        <s v="Akinnovate, LLC" u="1"/>
        <s v="Ralph Interactive Inc" u="1"/>
        <s v="Frankly Co" u="1"/>
        <s v="Placeholder Management LLC" u="1"/>
        <s v="SeamlessDocs" u="1"/>
        <s v="China Partnership" u="1"/>
        <s v="LIVELY" u="1"/>
        <s v="goei group" u="1"/>
        <s v="Carve Systems" u="1"/>
        <s v="Nautilus Labs" u="1"/>
        <s v="Simpat Solutions" u="1"/>
        <s v="Solar Jet Productions, LLC" u="1"/>
        <s v="OAG Analytics" u="1"/>
        <s v="LeMed Pharmacy" u="1"/>
        <s v="Your Tech Team" u="1"/>
        <s v="pushd, Inc." u="1"/>
        <s v="Remix Medical, PLLC" u="1"/>
        <s v="CTS" u="1"/>
        <s v="Coplex, LLC" u="1"/>
        <s v="Dubset Media Holdings" u="1"/>
        <s v="Fuigo LLC" u="1"/>
        <s v="Frankly Media" u="1"/>
        <s v="LVH Global Inc." u="1"/>
        <s v="Hello Monday, Inc." u="1"/>
        <s v="Mashey, LLC" u="1"/>
        <s v="KPP Management LLC" u="1"/>
        <s v="GXG" u="1"/>
        <s v="Transcend" u="1"/>
        <s v="The Curio of Norfolk, LLC" u="1"/>
        <s v="Financial Technologies Inc dba TeloChain" u="1"/>
        <s v="DRG" u="1"/>
        <s v="Prosprio LLC" u="1"/>
        <s v="Kite Hill PR LLC" u="1"/>
        <s v="Talented, LLC" u="1"/>
        <s v="IMBU" u="1"/>
        <s v="Elegant Themes Inc." u="1"/>
        <s v="Delta Brain Inc." u="1"/>
        <s v="Sean Kenney Design, Inc." u="1"/>
        <s v="Opportunity Network North America LLC" u="1"/>
        <s v="Quire" u="1"/>
        <s v="Replogic, Inc" u="1"/>
        <s v="Drucker Wealth Management" u="1"/>
        <s v="DRL" u="1"/>
        <s v="Catapult Ideas" u="1"/>
        <s v="Access Ventures" u="1"/>
        <s v="Kendall and Co Design LLC" u="1"/>
        <s v="Mommy Poppins" u="1"/>
        <s v="WOAH, Inc." u="1"/>
        <s v="Radiant Advisors" u="1"/>
        <s v="Harbour Point Capital" u="1"/>
        <s v="Grade A Design" u="1"/>
        <s v="Adam Lippes LLC" u="1"/>
        <s v="The Pekoe Group" u="1"/>
        <s v="Raysees Inc" u="1"/>
        <s v="Public Salt Company Inc" u="1"/>
        <s v="GroundControl Solutions, Inc" u="1"/>
        <s v="North Six, Inc." u="1"/>
        <s v="Coles Bay Management Co." u="1"/>
        <s v="Blue Fever" u="1"/>
        <s v="Maslow, Inc." u="1"/>
        <s v="Monaeo, Inc." u="1"/>
        <s v="RehabPath" u="1"/>
        <s v="Elasticiti" u="1"/>
        <s v="Helix Systems, Inc." u="1"/>
        <s v="Multiplier" u="1"/>
        <s v="Wagner Insurance Group, LLC" u="1"/>
        <s v="UrbanTech Consulting Engineering PC" u="1"/>
        <s v="Nameless.tv" u="1"/>
        <s v="Demyst Data Ltd" u="1"/>
        <s v="SimpleTiger LLC" u="1"/>
        <s v="Big Idea Technology LLC" u="1"/>
        <s v="Power Supply Collective, Inc" u="1"/>
        <s v="Who Gives A Crap Inc." u="1"/>
        <s v="Nirsum Laboratories L.L.C." u="1"/>
        <s v="Office of Baby LLC" u="1"/>
        <s v="People's Forum Inc." u="1"/>
        <s v="Aristone Capital LLC" u="1"/>
        <s v="London &amp; Partners" u="1"/>
        <s v="KFD Public Relations" u="1"/>
        <s v="Friends" u="1"/>
        <s v="RIGO Enterprises, Inc." u="1"/>
        <s v="The Belgian-American Chamber of Commerce in the USA, Inc" u="1"/>
        <s v="IntellectEU Inc" u="1"/>
        <s v="Company Counsel, LLC" u="1"/>
        <s v="RBL Partners" u="1"/>
        <s v="McCoy Medical Technologies" u="1"/>
        <s v="S Russell Groves" u="1"/>
        <s v="LINK MEDIA WISCONSIN, LLC" u="1"/>
        <s v="Live X, Inc." u="1"/>
        <s v="Openshop Architecture" u="1"/>
        <s v="Diverse Desserts LLC" u="1"/>
        <s v="Typhoon Homewares LLC" u="1"/>
        <s v="Bar &amp; Club Statistics, Inc." u="1"/>
        <s v="SubPac Inc." u="1"/>
        <s v="TowerIQ Inc." u="1"/>
        <s v="Objectively" u="1"/>
        <s v="WorkHouse NYC" u="1"/>
        <s v="Search Scientists" u="1"/>
        <s v="Alliance Consumer Growth LLC" u="1"/>
        <s v="Kalki Consulting LLC" u="1"/>
        <s v="What If Innovation" u="1"/>
        <s v="Christine Courtney Communications, Inc. DBA C3 Agency" u="1"/>
        <s v="Imagen Technologies Inc." u="1"/>
        <s v="FM Printing USA, Inc." u="1"/>
        <s v="I90 Trust" u="1"/>
        <s v="Halligan, Inc." u="1"/>
        <s v="Kain Mangement Group" u="1"/>
        <s v="Maestro, Inc." u="1"/>
        <s v="Simple Thread" u="1"/>
        <s v="Mergeable Inc." u="1"/>
        <s v="Variant Equity Advisors, LLC" u="1"/>
        <s v="Strategic Applications for Society, LLC" u="1"/>
        <s v="Fortuny, Inc." u="1"/>
        <s v="Inner Circle Sports LLC" u="1"/>
        <s v="Dezzys Footwear INC" u="1"/>
        <s v="Bridge Street Development Corporation" u="1"/>
        <s v="Huddle" u="1"/>
        <s v="Kaseware Inc" u="1"/>
        <s v="Frakture" u="1"/>
        <s v="Plotly US Inc" u="1"/>
        <s v="Taylor James LTD" u="1"/>
        <s v="Mazu International LLC" u="1"/>
        <s v="Mars on Gravity" u="1"/>
        <s v="Luxtech LLC" u="1"/>
        <s v="Sundar Inc." u="1"/>
        <s v="Goshow Architects" u="1"/>
        <s v="NST Pictures" u="1"/>
        <s v="AgileSrc LLC" u="1"/>
        <s v="Kustomer, Inc." u="1"/>
        <s v="Maelle LLC" u="1"/>
        <s v="Mountain Brook Capital" u="1"/>
        <s v="Fohr Card Inc." u="1"/>
        <s v="Remedy Analytics, Inc." u="1"/>
        <s v="Meridia Living" u="1"/>
        <s v="Human Ventures, LLC" u="1"/>
        <s v="Internetwork Expert, Inc." u="1"/>
        <s v="UserScape" u="1"/>
        <s v="Center Lake Capital" u="1"/>
        <s v="SandsPoint Capital Advisors LLC" u="1"/>
        <s v="JM ZONING LLC" u="1"/>
        <s v="Ross &amp; Company CPA, PLLC" u="1"/>
        <s v="Atrox Capital Management, LLC" u="1"/>
        <s v="VMG Creative" u="1"/>
        <s v="The 86 Company" u="1"/>
        <s v="Celerius Group, Inc." u="1"/>
        <s v="Mark Medical Care PLLC" u="1"/>
        <s v="Green Schools Alliance" u="1"/>
        <s v="Bodhala" u="1"/>
        <s v="Qocreate" u="1"/>
        <s v="ViewX" u="1"/>
        <s v="MEG USA LLC" u="1"/>
        <s v="Beachhead Capital" u="1"/>
        <s v="Indagare Travel" u="1"/>
        <s v="Broken To Better Urgent Care" u="1"/>
        <s v="Charter Technology Solutions LLC" u="1"/>
        <s v="Xpenditure" u="1"/>
        <s v="Infratects, LLC" u="1"/>
        <s v="Block Club Chicago" u="1"/>
        <s v="ThirdPartyTrust" u="1"/>
        <s v="Dot Dash" u="1"/>
        <s v="Left Field Labs, LLC" u="1"/>
        <s v="WiredScore" u="1"/>
        <s v="Yosi Samra" u="1"/>
        <s v="Campbell Frith LLC" u="1"/>
        <s v="uFO Development Group" u="1"/>
        <s v="Geospiza, Inc." u="1"/>
        <s v="Lassie Collective" u="1"/>
        <s v="BCS Private Wealth Management" u="1"/>
        <s v="ConferenceDirect" u="1"/>
        <s v="Studio Pendleton" u="1"/>
        <s v="LA Power Supply, LLC" u="1"/>
        <s v="Winky&amp;Dutch, Inc." u="1"/>
        <s v="Mailjet" u="1"/>
        <s v="Primary" u="1"/>
        <s v="The Boathouse" u="1"/>
        <s v="Tranlin, inc." u="1"/>
        <s v="SPINECARE NYC ORTHOPEDICS" u="1"/>
        <s v="RainmakerForce" u="1"/>
        <s v="Cheer Partners" u="1"/>
        <s v="Hubble Contacts" u="1"/>
        <s v="Client Velocity LLC" u="1"/>
        <s v="Exemine" u="1"/>
        <s v="VRM Media" u="1"/>
        <s v="Jiko Group, Inc." u="1"/>
        <s v="VirtualHealth" u="1"/>
        <s v="Noiz Ivy, Inc." u="1"/>
        <s v="Immunocologie" u="1"/>
        <s v="LoveCrafts Inc." u="1"/>
        <s v="Cobalt Speech and Language" u="1"/>
        <s v="Eggs and Rice" u="1"/>
        <s v="FiftyThree, Inc." u="1"/>
        <s v="Infinite Aleph, Inc" u="1"/>
        <s v="Parachute" u="1"/>
        <s v="The Caedmon School" u="1"/>
        <s v="Transom Holdings" u="1"/>
        <s v="DiversyFund, Inc." u="1"/>
        <s v="Thrive Global" u="1"/>
        <s v="TechGC Holdings, Inc." u="1"/>
        <s v="FourWorld Capital Management LLC" u="1"/>
        <s v="Brainly" u="1"/>
        <s v="Medullus" u="1"/>
        <s v="SanovaWorks" u="1"/>
        <s v="Solid Branding" u="1"/>
        <s v="Mish Guru" u="1"/>
        <s v="VirTasktic" u="1"/>
        <s v="HelloTeam, Inc." u="1"/>
        <s v="GenR Media Consultants LLC" u="1"/>
        <s v="Physicians Weight Control, LLC" u="1"/>
        <s v="United Casualty and Surety Insurance Company" u="1"/>
        <s v="Lock Travel Mgmt" u="1"/>
        <s v="Proof of Concept, LLC." u="1"/>
        <s v="A2IM" u="1"/>
        <s v="Daybreaker LLC" u="1"/>
        <s v="Smart Lamp, Inc" u="1"/>
        <s v="MINDS + ASSEMBLY" u="1"/>
        <s v="Tamara Mellon Brand Inc." u="1"/>
        <s v="Slanted Studio" u="1"/>
        <s v="Origin Solar LLC" u="1"/>
        <s v="Free Play" u="1"/>
        <s v="Truesight Consulting" u="1"/>
        <s v="Mapfit" u="1"/>
        <s v="Super Villain LLC" u="1"/>
        <s v="Limiar Capital Management LLC" u="1"/>
        <s v="EV-Box" u="1"/>
        <s v="TUSK Inc" u="1"/>
        <s v="Packet Host, Inc" u="1"/>
        <s v="Cooperative Development Institute" u="1"/>
        <s v="Red Antler" u="1"/>
        <s v="P1 Analytics Inc." u="1"/>
        <s v="Venn Global Macro Advisors LP" u="1"/>
        <s v="StellarEmploy" u="1"/>
        <s v="NextAfter" u="1"/>
        <s v="Compufit LLC" u="1"/>
        <s v="Bowen Media, Inc." u="1"/>
        <s v="Platte River Law Firm" u="1"/>
        <s v="Testa wines of the world ltd" u="1"/>
        <s v="Lure Creative" u="1"/>
        <s v="Opro, LLC" u="1"/>
        <s v="Array Inc." u="1"/>
        <s v="Wonder Unit, Inc." u="1"/>
        <s v="ActiveOps USA Inc." u="1"/>
        <s v="Red Sun Entertainment, LLC" u="1"/>
        <s v="Atlas Asset Management Services Corp" u="1"/>
        <s v="The Foundation for Research on Equal Opportunity" u="1"/>
        <s v="Sequence" u="1"/>
        <s v="CubeDash, LLC" u="1"/>
        <s v="Love Stories TV" u="1"/>
        <s v="Backstage, LLC" u="1"/>
        <s v="Sequel Holdings, L.P." u="1"/>
        <s v="California Pool Route Sales, Inc." u="1"/>
        <s v="Synchtank Inc" u="1"/>
        <s v="Vector Design Group" u="1"/>
        <s v="Envisium Health, Inc." u="1"/>
        <s v="Atlas: DIY Corporation" u="1"/>
        <s v="Lending Buddy Tech Corp" u="1"/>
        <s v="Payformance, LLC." u="1"/>
        <s v="Revel Partners LLC" u="1"/>
        <s v="GRIND-1216 BROADWAY LLC" u="1"/>
        <s v="J. D. Moschitto &amp; Associates, Inc." u="1"/>
        <s v="JCL Design" u="1"/>
        <s v="Davatore Labs" u="1"/>
        <s v="SecureStrux LLC" u="1"/>
        <s v="National Labor Benefits" u="1"/>
        <s v="Madsen Consulting Engineering" u="1"/>
        <s v="S.W. Basics" u="1"/>
        <s v="Fanatical Labs" u="1"/>
        <s v="MAUL Media LLC" u="1"/>
        <s v="Veronica Beard" u="1"/>
        <s v="Codesters, Inc." u="1"/>
        <s v="M Group Consulting LLC" u="1"/>
        <s v="Langate Managed Services LLC" u="1"/>
        <s v="Endeavor Management Inc" u="1"/>
        <s v="PowerLabs" u="1"/>
        <s v="RunSafe Security, Inc." u="1"/>
        <s v="Nolte" u="1"/>
        <s v="Radian Capital" u="1"/>
        <s v="PeakSpan Capital" u="1"/>
        <s v="LINC Project" u="1"/>
        <s v="Archway Health" u="1"/>
        <s v="Zion Physical Therapy" u="1"/>
        <s v="KitSplit" u="1"/>
        <s v="Rewoven, Inc." u="1"/>
        <s v="Restin" u="1"/>
        <s v="Glimpse LLC" u="1"/>
        <s v="VerticalOne" u="1"/>
        <s v="Advanced Communications Solutions LLC" u="1"/>
        <s v="Dataiku" u="1"/>
        <s v="Coverton Inc." u="1"/>
        <s v="B2X Partners, LLC" u="1"/>
        <s v="Blaze Makoid Architecture" u="1"/>
        <s v="VNDLY Inc." u="1"/>
        <s v="MyCheck, LLC" u="1"/>
        <s v="Phonebooths Inc." u="1"/>
        <s v="Fly Communications, Inc." u="1"/>
        <s v="Unsettled" u="1"/>
        <s v="Franklin Street Valuation Advisory" u="1"/>
        <s v="Bespoken LLC" u="1"/>
        <s v="Alius Corp" u="1"/>
        <s v="Thread Learning, Inc." u="1"/>
        <s v="EmcArts" u="1"/>
        <s v="Whistle Sports" u="1"/>
        <s v="Paper Cavalier" u="1"/>
        <s v="Fero Labs" u="1"/>
        <s v="Help Scout" u="1"/>
        <s v="Sara Happ" u="1"/>
        <s v="App Partner LLC" u="1"/>
        <s v="CapFlow Funding Group Managers LLC" u="1"/>
        <s v="Nomad Financial" u="1"/>
        <s v="Nexstara" u="1"/>
        <s v="Sketchfab Inc" u="1"/>
        <s v="Vesel, LLC" u="1"/>
        <s v="PeaceTech Lab" u="1"/>
        <s v="Clinchr Co." u="1"/>
        <s v="Ruane Attorneys" u="1"/>
        <s v="Lucas Jacobson Inc" u="1"/>
        <s v="Small Data Industries" u="1"/>
        <s v="Chemistry Group Inc" u="1"/>
        <s v="Tripoint Solutions Group" u="1"/>
        <s v="Annuco" u="1"/>
        <s v="Dream Forward" u="1"/>
        <s v="Launch Kids, Inc. dba Rockets of Awesome" u="1"/>
        <s v="Pomegranate Lab" u="1"/>
        <s v="Love &amp; War Associates, LLC" u="1"/>
        <s v="Dendrite Corporation" u="1"/>
        <s v="Cognitive Code" u="1"/>
        <s v="BW Financial Services LLC" u="1"/>
        <s v="Reflexions Data, LLC" u="1"/>
        <s v="Fin Technologies, Inc" u="1"/>
        <s v="Darkhorse Geospatial LLC" u="1"/>
        <s v="Hokku PR" u="1"/>
        <s v="Roomi Inc." u="1"/>
        <s v="LiveLike Inc." u="1"/>
        <s v="Doctors of the World USA" u="1"/>
        <s v="Bear Group, Inc." u="1"/>
        <s v="Crowd Vision USA Co." u="1"/>
        <s v="Parkview Management" u="1"/>
        <s v="venn global macro advisors GP LLC" u="1"/>
        <s v="Optimal Asset Management, Inc." u="1"/>
        <s v="RISE MEDIA INC" u="1"/>
        <s v="1021 Creative, LLC" u="1"/>
        <s v="iQ Capital (USA) LLC" u="1"/>
        <s v="The Working Assembly" u="1"/>
        <s v="Grand Studio" u="1"/>
        <s v="Sequoia Cyber Solutions, Inc." u="1"/>
        <s v="Kickpay" u="1"/>
        <s v="Community Urgent Care Holdings, LLC" u="1"/>
        <s v="Blacksmith Agency" u="1"/>
        <s v="Wellthie" u="1"/>
        <s v="Velem LLC" u="1"/>
        <s v="Luminary Media" u="1"/>
        <s v="RevCascade" u="1"/>
        <s v="Datavore Labs" u="1"/>
        <s v="Monica Vinader" u="1"/>
        <s v="BNNT Materials, LLC" u="1"/>
        <s v="Reboot.io" u="1"/>
        <s v="DJLU Architect" u="1"/>
        <s v="Romanoff Consultants" u="1"/>
        <s v="Vimbly LLC" u="1"/>
        <s v="Automata Studios, Ltd." u="1"/>
        <s v="Putcher Tubzhout, Inc." u="1"/>
        <s v="Masse" u="1"/>
        <s v="Ringly" u="1"/>
        <s v="Mall Media US LLC" u="1"/>
        <s v="Picture Motion Campaigns LLC" u="1"/>
        <s v="Hatch" u="1"/>
        <s v="BoxLock Inc." u="1"/>
        <s v="WeShouldDoItAll" u="1"/>
        <s v="Decusoft" u="1"/>
        <s v="Pinch of Yum" u="1"/>
        <s v="Green Light Expediting LLC" u="1"/>
        <s v="Village Marketing" u="1"/>
        <s v="Carevoyance Inc" u="1"/>
        <s v="Evolving Media Network" u="1"/>
        <s v="Roberts and Ryan Investments" u="1"/>
        <s v="BranchLabs LLC" u="1"/>
        <s v="Lara Devgan MD, PLLC" u="1"/>
        <s v="Hopeland" u="1"/>
        <s v="The Dcode Group, Inc." u="1"/>
        <s v="The Haber Group, Inc." u="1"/>
        <s v="PlayLab, Inc" u="1"/>
        <s v="Pefin Technologies LLC" u="1"/>
        <s v="Reconciled It" u="1"/>
        <s v="Maxwell Financial Labs, Inc." u="1"/>
        <s v="Cactus" u="1"/>
        <s v="SHHHOWERCAP" u="1"/>
        <s v="Visify" u="1"/>
        <s v="The ImPact Society" u="1"/>
        <s v="RunBuggy, Inc" u="1"/>
        <s v="WorkStep" u="1"/>
        <s v="Itemize Corp." u="1"/>
        <s v="Clay Art Center, Inc." u="1"/>
        <s v="Centurion Real Estate Partners" u="1"/>
        <s v="Matillion Inc." u="1"/>
        <s v="SevenFifty Technologies, Inc." u="1"/>
        <s v="Mount Sinai Genomics Inc." u="1"/>
        <s v="The Smillst" u="1"/>
        <s v="House Studios LTD" u="1"/>
        <s v="LEM Capital, L.P." u="1"/>
        <s v="Qnnect 4 Success LLC" u="1"/>
        <s v="Briarvista Pediatrics" u="1"/>
        <s v="Coeio, Inc." u="1"/>
        <s v="Order Design, LLC" u="1"/>
        <s v="www.centerity.com" u="1"/>
        <s v="FatCat Financial, Inc." u="1"/>
        <s v="Valyant AI, LLC" u="1"/>
        <s v="Wasted Talent Media Inc" u="1"/>
        <s v="PBLC, Inc." u="1"/>
        <s v="Travel Equity Partners LLC" u="1"/>
        <s v="Blosm LLC" u="1"/>
        <s v="CLIENT_249_7" u="1"/>
        <s v="Arden Reed, LLC" u="1"/>
        <s v="The Franchise Builders" u="1"/>
        <s v="The Healthcare Institute Inc" u="1"/>
        <s v="Speed Digital" u="1"/>
        <s v="Fancy Pants Group" u="1"/>
        <s v="Foodworks" u="1"/>
        <s v="Frederator" u="1"/>
        <s v="CO2logic Inc." u="1"/>
        <s v="Calico Wallpaper" u="1"/>
        <s v="Pillar Vision, Inc." u="1"/>
        <s v="Skeleton Key" u="1"/>
        <s v="Crossroads Ops" u="1"/>
        <s v="Change Assembly Inc." u="1"/>
        <s v="Desktop Genetics Inc." u="1"/>
        <s v="VISION BI INC" u="1"/>
        <s v="Sockeye Media LLC" u="1"/>
        <s v="Interactive Edge LLC" u="1"/>
        <s v="Pefin Technologies Inc." u="1"/>
        <s v="x2-solutions LLC" u="1"/>
        <s v="Metropolitan Testing &amp; Balancing" u="1"/>
        <s v="Bobsled" u="1"/>
        <s v="EVR Foods, Inc." u="1"/>
        <s v="Cowboy Bear Ninja" u="1"/>
        <s v="Weav Music Inc" u="1"/>
        <s v="Tea &amp; Water LLC" u="1"/>
        <s v="ROKT Reply Corp." u="1"/>
        <s v="Prodigy Network Miami, LLC" u="1"/>
        <s v="Stream.io Inc" u="1"/>
        <s v="Roeder Studios" u="1"/>
        <s v="BAM Technologies, LLC" u="1"/>
        <s v="Oakscale LLC" u="1"/>
        <s v="Improbable Inc" u="1"/>
        <s v="Swig Labs, Inc" u="1"/>
        <s v="Scott Adam Designs Inc." u="1"/>
        <s v="ShearShare, Inc." u="1"/>
        <s v="Kyle House Group LLC" u="1"/>
        <s v="Felix Gray" u="1"/>
        <s v="Pie Face Pictures" u="1"/>
        <s v="The TerrAlign Group, Inc." u="1"/>
        <s v="Good Pediatrics" u="1"/>
        <s v="Planifi, LLC" u="1"/>
        <s v="Perpetual Insights LLC" u="1"/>
        <s v="INFRASI" u="1"/>
        <s v="Vitally, Inc" u="1"/>
        <s v="Tab Media Inc." u="1"/>
        <s v="Aperio CI" u="1"/>
        <s v="Proinnovera Inc." u="1"/>
        <s v="Squirro Americas Inc." u="1"/>
        <s v="Pear Deck" u="1"/>
        <s v="The Burnett Collective" u="1"/>
        <s v="GeistM" u="1"/>
        <s v="ShowMojo" u="1"/>
        <s v="J. Streicher Capital LLC" u="1"/>
        <s v="TBTN, LLC" u="1"/>
        <s v="Latch" u="1"/>
        <s v="EasyMovie" u="1"/>
        <s v="First Mile Group Inc" u="1"/>
        <s v="Alcorn" u="1"/>
        <s v="CustomerGauge USA LLC" u="1"/>
        <s v="MealPal" u="1"/>
        <s v="Our Man In Havana LLC" u="1"/>
        <s v="eBrevia" u="1"/>
        <s v="PAIRITY" u="1"/>
        <s v="Shaheen &amp; Associates, Inc." u="1"/>
        <s v="Hollwich Kushner Architecture" u="1"/>
        <s v="PetPlate" u="1"/>
        <s v="Privakey, Inc." u="1"/>
        <s v="The Next Seed Inc." u="1"/>
        <s v="Resources for Reservists" u="1"/>
        <s v="Beespace" u="1"/>
        <s v="Jungle Creations Ltd" u="1"/>
        <s v="Audience Acuity, LLC" u="1"/>
        <s v="The Apartment Service Ltd" u="1"/>
        <s v="River Architects PLLC" u="1"/>
        <s v="SOLMade, Inc." u="1"/>
        <s v="RL &amp; Associates" u="1"/>
        <s v="Highfield" u="1"/>
        <s v="D3 NYC" u="1"/>
        <s v="Loyalsnap" u="1"/>
        <s v="Isaac Ritter MD PC" u="1"/>
        <s v="Vagaro Inc" u="1"/>
        <s v="LeoLabs, Inc." u="1"/>
        <s v="TZP Growth Fund Manager, LP" u="1"/>
        <s v="Vagaro" u="1"/>
        <s v="BioPharma Capital, Inc." u="1"/>
        <s v="LawTrades, Inc" u="1"/>
        <s v="Quantitative Scientific Solutions, LLC" u="1"/>
        <s v="Wombat Loans LLC" u="1"/>
        <s v="Vigilant Biosciences" u="1"/>
        <s v="CounterFlow AI" u="1"/>
        <s v="IntraWorlds Inc." u="1"/>
        <s v="Untapped Cities LLC" u="1"/>
        <s v="Neuhaus Design Architecture, P.C." u="1"/>
        <s v="New York Plastic Surgery Suite, PLLC" u="1"/>
        <s v="GLOBO LLC" u="1"/>
        <s v="Next-Insurance, Inc" u="1"/>
        <s v="OpsLine" u="1"/>
        <s v="Coalition for Queens Inc - C4Q" u="1"/>
        <s v="Roon Labs LLC" u="1"/>
        <s v="Petal" u="1"/>
        <s v="Be More America" u="1"/>
        <s v="King's Row Holding, LLC" u="1"/>
        <s v="A24 International" u="1"/>
        <s v="Tap Projects, Inc" u="1"/>
        <s v="Christian Oth Studio" u="1"/>
        <s v="Apex Home Partners LLC" u="1"/>
        <s v="Haynes &amp; Company, Inc." u="1"/>
        <s v="Network Innovations, Inc." u="1"/>
        <s v="Literacy Trust" u="1"/>
        <s v="Atmos Digital Inc." u="1"/>
        <s v="Evil Overlord Games, Inc." u="1"/>
        <s v="Last Call Media" u="1"/>
        <s v="Jounce Media, LLC" u="1"/>
        <s v="Lynne Breslin Architects" u="1"/>
        <s v="Cohero Health" u="1"/>
        <s v="Faherty Brand LLC" u="1"/>
        <s v="Chantelle Lingerie, Inc." u="1"/>
        <s v="Improove Inc" u="1"/>
        <s v="Lumiode, Inc." u="1"/>
        <s v="Intellion Inc." u="1"/>
        <s v="Prime Discoveries, Inc." u="1"/>
        <s v="Sircle Media" u="1"/>
        <s v="Continuity Partners Inc" u="1"/>
        <s v="InnerCircle Technology Advisors" u="1"/>
        <s v="Robly" u="1"/>
        <s v="SpokenLayer" u="1"/>
        <s v="FutureClick Media, LLC" u="1"/>
        <s v="SearchPath" u="1"/>
        <s v="Dwight Funding LLC" u="1"/>
        <s v="Stride Physical Therapy" u="1"/>
        <s v="HealthCelerate" u="1"/>
        <s v="Kalo Capital Management, LLC" u="1"/>
        <s v="Orley" u="1"/>
        <s v="Thinkful Inc." u="1"/>
        <s v="KitNipBox" u="1"/>
        <s v="OneNetworks, Inc." u="1"/>
        <s v="National Council of Nonprofits" u="1"/>
        <s v="Signal Sciences" u="1"/>
        <s v="Lexington Medical Associates" u="1"/>
        <s v="Giant Otter Technologies, Inc." u="1"/>
        <s v="Fleetsmith, Inc." u="1"/>
        <s v="Prodigy Marketing LLC" u="1"/>
        <s v="Brooklyn Capital Partners" u="1"/>
        <s v="GARDEN DENTAL ARTS" u="1"/>
        <s v="West Coast Pals LLC" u="1"/>
        <s v="Get My Bat Media, LLC" u="1"/>
        <s v="UNDO" u="1"/>
        <s v="Adthena Inc" u="1"/>
        <s v="TULA Life, Inc." u="1"/>
        <s v="Grid Ventures LLC" u="1"/>
        <s v="Le Blum Inc." u="1"/>
        <s v="Splitzee, Inc." u="1"/>
        <s v="MillerSmith LLC" u="1"/>
        <s v="Noi Solutions LLC" u="1"/>
        <s v="Style Lend" u="1"/>
        <s v="Coalition" u="1"/>
        <s v="Arden Reed" u="1"/>
        <s v="Someecards" u="1"/>
        <s v="BrightMove, Inc." u="1"/>
        <s v="Franchise Brokers Association" u="1"/>
        <s v="Smiota" u="1"/>
        <s v="BetterCredit" u="1"/>
        <s v="Division of LLC" u="1"/>
        <s v="The Tambellini Group, LLC" u="1"/>
        <s v="Mouth Foods" u="1"/>
        <s v="The Finest Federal Credit Union" u="1"/>
        <s v="Council of Urban Professionals Institute" u="1"/>
        <s v="Aiuto" u="1"/>
        <s v="KW Fashion corp" u="1"/>
        <s v="TEN DIGIT Communications LLC" u="1"/>
        <s v="Arthur Ventures Management, LLC" u="1"/>
        <s v="Urus Graphics" u="1"/>
        <s v="Saybrook Capital" u="1"/>
        <s v="NM Collective LLC" u="1"/>
        <s v="Gravy Analytics" u="1"/>
        <s v="Futurism Markets LLC" u="1"/>
        <s v="Midpoint Trade Books" u="1"/>
        <s v="One Eighty Software, Inc." u="1"/>
        <s v="L18 Holdings" u="1"/>
        <s v="GridPlus Inc." u="1"/>
        <s v="TheSquareFoot" u="1"/>
        <s v="Kobu Beverages, LLC (dba Kombrewcha)" u="1"/>
        <s v="Sched" u="1"/>
        <s v="Top 1" u="1"/>
        <s v="Code to Work" u="1"/>
        <s v="Foossa" u="1"/>
        <s v="humbition Management LLC" u="1"/>
        <s v="DDx Media Inc. dba Steamwork" u="1"/>
        <s v="8th Arm Inc" u="1"/>
        <s v="Small Change" u="1"/>
        <s v="Staffbase Inc" u="1"/>
        <s v="Doberman Design, Inc" u="1"/>
        <s v="Dragonfly Technologies, LLC" u="1"/>
        <s v="Text IQ" u="1"/>
        <s v="Sweden Unlimited" u="1"/>
        <s v="Fridman Law Group PLLC" u="1"/>
        <s v="Slope.io, Inc." u="1"/>
        <s v="NoAppFee.com, Inc." u="1"/>
        <s v="MatchaBar Inc" u="1"/>
        <s v="Tanteo Spirits" u="1"/>
        <s v="Radar Labs, Inc." u="1"/>
        <s v="Bonsai Mirai" u="1"/>
        <s v="Desert Medical Management Services, LLC" u="1"/>
        <s v="Sunpointe LLC" u="1"/>
        <s v="Adverator" u="1"/>
        <s v="Longwave Financial" u="1"/>
        <s v="Because of Them We Can LLC" u="1"/>
        <s v="GraniteShares" u="1"/>
        <s v="Endeavor Service" u="1"/>
        <s v="East Coast Digital, Inc." u="1"/>
        <s v="Asia Capital Real Estate Management LLC" u="1"/>
        <s v="Boomtown CIO" u="1"/>
        <s v="Fitzroy Toys" u="1"/>
        <s v="Leopard Solutions" u="1"/>
        <s v="Zoomers Inc., DBA Lake Dillon Preschool and Early Learning Center" u="1"/>
        <s v="Croscon" u="1"/>
        <s v="Bleeker, Inc." u="1"/>
        <s v="Baron &amp; Baron, Inc." u="1"/>
        <s v="Charleston Legal Access" u="1"/>
        <s v="Electric" u="1"/>
        <s v="Scripts Asia" u="1"/>
        <s v="3P Learning Inc" u="1"/>
        <s v="Tell Friends, Inc." u="1"/>
        <s v="KSK STUDIOS" u="1"/>
        <s v="Usabilla Inc." u="1"/>
        <s v="CKC Capital LLC" u="1"/>
        <s v="The Colorado Sun" u="1"/>
        <s v="Secure by Design Inc" u="1"/>
        <s v="Crime Victims Treatment Center, Inc." u="1"/>
        <s v="CourseHorse" u="1"/>
        <s v="Muse Paintbar, LLC" u="1"/>
        <s v="Workers Benefit Fund" u="1"/>
        <s v="Bit Capital Group, LLC." u="1"/>
        <s v="Gigante Vaz Partners Advertising Inc." u="1"/>
        <s v="Whole Whale" u="1"/>
        <s v="Reductress Media" u="1"/>
        <s v="A24 Analytics" u="1"/>
        <s v="Pierce Burns LLP" u="1"/>
        <s v="FC Brands LLC" u="1"/>
        <s v="P2 Analytics LLC" u="1"/>
        <s v="NYCBT" u="1"/>
        <s v="B Squared" u="1"/>
        <s v="Dog Parker" u="1"/>
        <s v="Ro and Co Studio" u="1"/>
        <s v="inDinero" u="1"/>
        <s v="Maison MRKT" u="1"/>
        <s v="Verdes Industries LLC" u="1"/>
        <s v="And Or Studio LLC" u="1"/>
        <s v="LoadSmart, Inc." u="1"/>
        <s v="LH Meyer" u="1"/>
        <s v="Beehouse LLC" u="1"/>
        <s v="EdgeDNA LLC" u="1"/>
        <s v="Second Floor Management, LLC" u="1"/>
        <s v="SGG USA" u="1"/>
        <s v="Branch Alliance for Educator Diversity" u="1"/>
        <s v="ConsenSys" u="1"/>
        <s v="Compstak.com" u="1"/>
        <s v="RightMessage Inc" u="1"/>
        <s v="Practice Marketing, Inc." u="1"/>
        <s v="Incfile.com LLC" u="1"/>
        <s v="Servicient Corporation" u="1"/>
        <s v="Delphi Engineering Group, Inc." u="1"/>
        <s v="The Sunshine Humanitarian Grants Program" u="1"/>
        <s v="Muxgram, Inc." u="1"/>
        <s v="Minds On Design Lab Inc." u="1"/>
        <s v="Grok LLC" u="1"/>
        <s v="NYSD INC." u="1"/>
        <s v="GetSuperScript" u="1"/>
        <s v="Continuity Partners Inc." u="1"/>
        <s v="Socratic" u="1"/>
        <s v="Wright + Ko" u="1"/>
        <s v="SYMO TEAM, LLC." u="1"/>
        <s v="Last Empire, Inc." u="1"/>
        <s v="Camp Young Judaea, Inc." u="1"/>
        <s v="Lively, Inc." u="1"/>
        <s v="Strikeforce Management Group" u="1"/>
        <s v="Vettery" u="1"/>
        <s v="System Surveyor" u="1"/>
        <s v="Copra, Inc." u="1"/>
        <s v="AppIt Ventures" u="1"/>
        <s v="Suits &amp; Sandals, LLC" u="1"/>
        <s v="CEU Paymaster LLC" u="1"/>
        <s v="Locke Careers, Inc." u="1"/>
        <s v="Practice Yoga Austin LLC" u="1"/>
        <s v="ScreenSteps" u="1"/>
        <s v="Studio Dror" u="1"/>
        <s v="Transcendent Enterprise" u="1"/>
        <s v="N26" u="1"/>
        <s v="Arborian Consulting LLC" u="1"/>
        <s v="TrinityVR" u="1"/>
        <s v="Rhone" u="1"/>
        <s v="STUDIOCASE LLC" u="1"/>
        <s v="Intellishore Corporation" u="1"/>
        <s v="January Digital" u="1"/>
        <s v="Ripple Labs, LLC" u="1"/>
        <s v="Faherty Brand Newbury LLC" u="1"/>
        <s v="Mary Nittolo INc. dba The Studio" u="1"/>
        <s v="ALTERATIONS NYC" u="1"/>
        <s v="Aeon America Inc" u="1"/>
        <s v="Pit TicketPro, Inc." u="1"/>
        <s v="MAD-Learn LLC" u="1"/>
        <s v="Craft &amp; Commerce" u="1"/>
        <s v="BlockApps, Inc." u="1"/>
        <s v="Singularis IT LLC" u="1"/>
        <s v="PATHFINDER MGMT LLC" u="1"/>
        <s v="Alliance" u="1"/>
        <s v="IQ Logic" u="1"/>
        <s v="fuboTV, Inc" u="1"/>
        <s v="Axero Solutions, LLC." u="1"/>
        <s v="Sourcemap" u="1"/>
        <s v="BLUE TELESCOPE" u="1"/>
        <s v="Armarium Inc." u="1"/>
        <s v="Morgan Young LLC" u="1"/>
        <s v="Value in Motion (CO) LLC" u="1"/>
        <s v="Podible" u="1"/>
        <s v="Vidrovr" u="1"/>
        <s v="Union Square Park Capital Management, LLC" u="1"/>
        <s v="Seven Rivers Group" u="1"/>
        <s v="Urban Tumbler, LLC" u="1"/>
        <s v="Turings Craft, Inc." u="1"/>
        <s v="Cheerity" u="1"/>
        <s v="The Bindery" u="1"/>
        <s v="Bindo Labs Inc." u="1"/>
        <s v="RealCo" u="1"/>
        <s v="Quest Research &amp; Investigations LLC" u="1"/>
        <s v="Motel" u="1"/>
        <s v="Synq.fm" u="1"/>
        <s v="nCent Labs Inc." u="1"/>
        <s v="Behavox" u="1"/>
        <s v="Monet Engine" u="1"/>
        <s v="Eminent IT, LLC" u="1"/>
        <s v="Jungle Creations" u="1"/>
        <s v="Foodstand" u="1"/>
        <s v="Hazeltree" u="1"/>
        <s v="AB WIN-WIN II LLC" u="1"/>
        <s v="Axios Media Inc." u="1"/>
        <s v="Crypdex" u="1"/>
        <s v="Baca Coffee" u="1"/>
        <s v="Hillside Data Services LLC" u="1"/>
        <s v="Kingman Ink" u="1"/>
        <s v="Mode Lab" u="1"/>
        <s v="Food 52 Inc." u="1"/>
        <s v="Castle Digital Partners" u="1"/>
        <s v="Learnta Inc." u="1"/>
        <s v="5 Boroughs Brewery Inc." u="1"/>
        <s v="Food Revolution Network" u="1"/>
        <s v="Amolo Atelier Inc" u="1"/>
        <s v="Healing Action Network, Inc." u="1"/>
        <s v="Aquila International" u="1"/>
        <s v="African American Mayors Association" u="1"/>
        <s v="Viridis Learning" u="1"/>
        <s v="Kerrisdale Advisers" u="1"/>
        <s v="AdeptPrep" u="1"/>
        <s v="Bizly, Inc" u="1"/>
        <s v="Prognos Health Inc." u="1"/>
        <s v="Core Technology, LLC" u="1"/>
        <s v="Framelab" u="1"/>
        <s v="Michael Andrews" u="1"/>
        <s v="Meta SaaS, Inc." u="1"/>
        <s v="One Architecture + Urbanism Inc." u="1"/>
        <s v="National Domestic Workers Alliance" u="1"/>
        <s v="Confidant" u="1"/>
        <s v="Nom Nom Data Inc" u="1"/>
        <s v="Rottar Chocolate Machines" u="1"/>
        <s v="Kumu Inc." u="1"/>
        <s v="Prime View USA, Inc." u="1"/>
        <s v="Glitter &amp; Grit" u="1"/>
        <s v="Easyship, Inc" u="1"/>
        <s v="SMA Rail Consulting + IT, Corp." u="1"/>
        <s v="Pro Insurance Agency, Inc" u="1"/>
        <s v="Sourcify" u="1"/>
        <s v="FLAGCX LLC DBA CUBOCC" u="1"/>
        <s v="Furey Financial Services, LLC" u="1"/>
        <s v="TZP Management Associates, LLC" u="1"/>
        <s v="Attentive Mobile Inc" u="1"/>
        <s v="NEO TRACKER CORP" u="1"/>
        <s v="Hawthorne Lab Inc." u="1"/>
        <s v="Metric Digital LLC" u="1"/>
        <s v="Verso Books" u="1"/>
        <s v="1216 Nomad LLC" u="1"/>
        <s v="MVP INTERACTIVE" u="1"/>
        <s v="SaleMove" u="1"/>
        <s v="Boardroom Alpha" u="1"/>
        <s v="Birchbox" u="1"/>
        <s v="Alyk, Inc." u="1"/>
        <s v="Food Blogger Pro" u="1"/>
        <s v="nCase Inc." u="1"/>
        <s v="OWAL" u="1"/>
        <s v="Project DragonFruit" u="1"/>
        <s v="Fox Robotics, Inc." u="1"/>
        <s v="Keep a Child Alive" u="1"/>
        <s v="Credit Collection Partners" u="1"/>
        <s v="Development Resource Group of NY, Inc." u="1"/>
        <s v="Casper Sleep" u="1"/>
        <s v="Freenome Inc." u="1"/>
        <s v="Health Data Link, Inc." u="1"/>
        <s v="Pomsg AI, Inc." u="1"/>
        <s v="Savur Threadgold LLP" u="1"/>
        <s v="Freethink Media, Inc." u="1"/>
        <s v="Mile 59" u="1"/>
        <s v="TJNS Capital" u="1"/>
        <s v="DS ADVISORS LLC" u="1"/>
        <s v="DAn Solutions" u="1"/>
        <s v="Careercoach.com" u="1"/>
        <s v="OnePage Software, LLC" u="1"/>
        <s v="ingenuIT" u="1"/>
        <s v="Spatial Systems, Inc" u="1"/>
        <s v="Timehop" u="1"/>
        <s v="inSided, Inc." u="1"/>
        <s v="LiveTechnology Holdings Inc." u="1"/>
        <s v="Curve10" u="1"/>
        <s v="FLAGCX LLC" u="1"/>
        <s v="Eightfive PR" u="1"/>
        <s v="BIRDZI INC" u="1"/>
        <s v="WellDatabase" u="1"/>
        <s v="Run For America" u="1"/>
        <s v="Inova Software, inc" u="1"/>
        <s v="Mainspring Holdings, Inc." u="1"/>
        <s v="Descente Global Retail America Ltd" u="1"/>
        <s v="Kard Financial, Inc." u="1"/>
        <s v="HILBERT 8" u="1"/>
        <s v="Arkhouse, LLC" u="1"/>
        <s v="Breakout Capital" u="1"/>
        <s v="Watchman NYC" u="1"/>
        <s v="Syncapay, Inc." u="1"/>
        <s v="Pareteum Corporation" u="1"/>
        <s v="Wickfire, LLC" u="1"/>
        <s v="Body Mechanics Acupuncture" u="1"/>
        <s v="Concierge Software Design, LLC" u="1"/>
        <s v="The Nantucket Project, LLC" u="1"/>
        <s v="Kaleido Health Solutions, Inc." u="1"/>
        <s v="NCN Technology" u="1"/>
        <s v="Narrative 4" u="1"/>
        <s v="Meta Clinic, LLC" u="1"/>
        <s v="Mungo Creative Group" u="1"/>
        <s v="OrangeLime Consulting LLC" u="1"/>
        <s v="The Law Office of Sean B. Oster, P.C." u="1"/>
        <s v="Packet Host Inc" u="1"/>
        <s v="Aladdin Financial, Inc" u="1"/>
        <s v="Historic Films" u="1"/>
        <s v="Unison Computing" u="1"/>
        <s v="Kaiburr Solutions" u="1"/>
        <s v="Fueled Digital Media, LLC" u="1"/>
        <s v="The Bushe Group" u="1"/>
        <s v="Goins Enterprises" u="1"/>
        <s v="Nuntio Technologies, Inc." u="1"/>
        <s v="NV Candles" u="1"/>
        <s v="Highland Capital Group LLC" u="1"/>
        <s v="BOND.AI" u="1"/>
        <s v="Adsugar Inc" u="1"/>
        <s v="Overground, Inc." u="1"/>
        <s v="Democrats.com LLC" u="1"/>
        <s v="Aero Payments, LLC" u="1"/>
        <s v="Togetherwork Operations, LLC" u="1"/>
        <s v="WayUp, Inc." u="1"/>
        <s v="Agency for Student Health Research" u="1"/>
        <s v="TechFreedom" u="1"/>
        <s v="True North Partners" u="1"/>
        <s v="Aesthetic Rejuvenation Center PLLC" u="1"/>
        <s v="Donovan Energy" u="1"/>
        <s v="Olivia Management" u="1"/>
        <s v="CLIENT_249_8" u="1"/>
        <s v="The Insurrection" u="1"/>
        <s v="SOSA NYC" u="1"/>
        <s v="AGW Group" u="1"/>
        <s v="Ravn, Inc." u="1"/>
        <s v="PO Box 882141" u="1"/>
        <s v="Mobilosophy LLC, DBA Archbolt" u="1"/>
        <s v="Social Investment Managers &amp; Advisors (SIMA)" u="1"/>
        <s v="Inpher Inc" u="1"/>
        <s v="TreasuryXpress, Inc." u="1"/>
        <s v="MKJ Communications, Inc" u="1"/>
        <s v="Mongrel Enterprises Inc" u="1"/>
        <s v="SAMMEL ARCHITECTURE PLLC" u="1"/>
        <s v="AREA 17" u="1"/>
        <s v="Valuexpress LLC" u="1"/>
        <s v="Interspace Technologies, Inc." u="1"/>
        <s v="Cache Ventures" u="1"/>
        <s v="SixApp Inc." u="1"/>
        <s v="The Thomas Collective" u="1"/>
        <s v="The Wellth Collective" u="1"/>
      </sharedItems>
    </cacheField>
    <cacheField name="Display Name" numFmtId="0">
      <sharedItems containsBlank="1"/>
    </cacheField>
    <cacheField name="Phone" numFmtId="0">
      <sharedItems containsBlank="1"/>
    </cacheField>
    <cacheField name="Address" numFmtId="49">
      <sharedItems containsBlank="1"/>
    </cacheField>
    <cacheField name="Address 2" numFmtId="49">
      <sharedItems containsBlank="1"/>
    </cacheField>
    <cacheField name="City" numFmtId="49">
      <sharedItems containsBlank="1"/>
    </cacheField>
    <cacheField name="State" numFmtId="49">
      <sharedItems containsBlank="1"/>
    </cacheField>
    <cacheField name="Zip" numFmtId="1">
      <sharedItems containsString="0" containsBlank="1" containsNumber="1" containsInteger="1" minValue="37011" maxValue="95125"/>
    </cacheField>
    <cacheField name="Industry" numFmtId="49">
      <sharedItems containsBlank="1"/>
    </cacheField>
    <cacheField name="Company Size" numFmtId="1">
      <sharedItems containsString="0" containsBlank="1" containsNumber="1" containsInteger="1" minValue="1" maxValue="1100"/>
    </cacheField>
    <cacheField name="Producer" numFmtId="49">
      <sharedItems containsBlank="1"/>
    </cacheField>
    <cacheField name="Configuration" numFmtId="49">
      <sharedItems containsBlank="1" count="14">
        <s v="ThinkHR Sales Demo - Bronze"/>
        <s v="ThinkHR Sales Demo - Silver"/>
        <s v="ThinkHR Sales Demo - Gold"/>
        <s v="Master Configuration"/>
        <s v="ThinkHR Sales Demo - Platinum"/>
        <s v="Test Config 1"/>
        <s v="Test Config 2"/>
        <s v="Just Comply No Handbooks"/>
        <m/>
        <s v="Comply, LIVE, Learn" u="1"/>
        <s v="JustWorks, Inc. Configuration - 4" u="1"/>
        <s v="Sample Import Config" u="1"/>
        <s v="JustWorks, Inc. Configuration - 1" u="1"/>
        <s v="JustWorks, Inc. Configuration - 2" u="1"/>
      </sharedItems>
    </cacheField>
    <cacheField name="Custom 1" numFmtId="49">
      <sharedItems containsBlank="1"/>
    </cacheField>
    <cacheField name="Custom 2" numFmtId="49">
      <sharedItems containsBlank="1"/>
    </cacheField>
    <cacheField name="Custom 3" numFmtId="49">
      <sharedItems containsBlank="1"/>
    </cacheField>
    <cacheField name="Custom 4" numFmtId="49">
      <sharedItems containsBlank="1"/>
    </cacheField>
    <cacheField name="Custom 5" numFmtId="49">
      <sharedItems containsBlank="1"/>
    </cacheField>
    <cacheField name="Active" numFmtId="166">
      <sharedItems containsString="0" containsBlank="1" containsNumber="1" containsInteger="1" minValue="1" maxValue="1" count="2">
        <n v="1"/>
        <m/>
      </sharedItems>
    </cacheField>
    <cacheField name="Company Since" numFmtId="14">
      <sharedItems containsNonDate="0" containsDate="1" containsString="0" containsBlank="1" minDate="2018-04-18T00:00:00" maxDate="2018-10-03T00:00:00"/>
    </cacheField>
    <cacheField name="Last Updated" numFmtId="14">
      <sharedItems containsNonDate="0" containsDate="1" containsString="0" containsBlank="1" minDate="2018-08-03T18:27:59" maxDate="2018-08-20T22:36:3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4">
  <r>
    <n v="536770"/>
    <s v="Partner"/>
    <s v="Contact"/>
    <x v="0"/>
    <s v="partnercontact@thinkhr.com"/>
    <s v="partnercontact@thinkhr.com"/>
    <m/>
    <s v="9252251100"/>
    <m/>
    <x v="0"/>
    <s v=""/>
    <s v=""/>
    <s v=""/>
    <s v=""/>
    <x v="0"/>
    <d v="2018-10-03T17:42:55"/>
  </r>
  <r>
    <n v="536786"/>
    <s v="Bronze"/>
    <s v="Contact"/>
    <x v="1"/>
    <s v="bronzeclient@thinkhr.com"/>
    <s v="bronzeclient@thinkhr.com"/>
    <s v="HR Manager"/>
    <s v="9252251100"/>
    <s v="Human Resources"/>
    <x v="1"/>
    <s v=""/>
    <s v=""/>
    <s v=""/>
    <s v=""/>
    <x v="0"/>
    <d v="2018-10-02T21:56:38"/>
  </r>
  <r>
    <n v="536787"/>
    <s v="Silver"/>
    <s v="Contact"/>
    <x v="2"/>
    <s v="silverclient@thinkhr.com"/>
    <s v="silverclient@thinkhr.com"/>
    <s v="HR Manager"/>
    <s v="(925) 225-1100"/>
    <s v="Human Resources"/>
    <x v="1"/>
    <s v=""/>
    <s v=""/>
    <s v=""/>
    <s v=""/>
    <x v="0"/>
    <d v="2018-10-02T21:56:48"/>
  </r>
  <r>
    <n v="536789"/>
    <s v="Gold"/>
    <s v="Contact"/>
    <x v="3"/>
    <s v="ajain@thinkhr.com"/>
    <s v="goldclient@thinkhr.com"/>
    <s v="HR Manager"/>
    <s v="(925) 225-1100"/>
    <s v="Human Resources"/>
    <x v="1"/>
    <s v=""/>
    <s v=""/>
    <s v=""/>
    <s v=""/>
    <x v="0"/>
    <d v="2018-10-03T17:41:34"/>
  </r>
  <r>
    <n v="575163"/>
    <s v="Lois"/>
    <s v="Lane"/>
    <x v="3"/>
    <s v="llane@sample.com"/>
    <s v="llane@sample.com"/>
    <s v="Sales Rep"/>
    <s v="555-555-5555"/>
    <s v="Sales"/>
    <x v="2"/>
    <s v=""/>
    <s v=""/>
    <s v=""/>
    <s v=""/>
    <x v="0"/>
    <m/>
  </r>
  <r>
    <n v="582526"/>
    <s v="API"/>
    <s v="Admin"/>
    <x v="1"/>
    <s v="bronze-admin@thinkhr.com"/>
    <s v="api-admin@bronzeclient.com"/>
    <m/>
    <s v="1234567890"/>
    <m/>
    <x v="1"/>
    <s v=""/>
    <s v=""/>
    <s v=""/>
    <s v=""/>
    <x v="0"/>
    <d v="2018-09-17T21:03:43"/>
  </r>
  <r>
    <n v="582527"/>
    <s v="API"/>
    <s v="Admin"/>
    <x v="3"/>
    <s v="gold-admin@thinkhr.com"/>
    <s v="api-admin@goldclient.com"/>
    <m/>
    <s v="1234567890"/>
    <m/>
    <x v="1"/>
    <s v=""/>
    <s v=""/>
    <s v=""/>
    <s v=""/>
    <x v="0"/>
    <d v="2018-10-03T06:30:31"/>
  </r>
  <r>
    <n v="582528"/>
    <s v="API"/>
    <s v="User"/>
    <x v="3"/>
    <s v="gold-user@thinkhr.com"/>
    <s v="api-user@goldclient.com"/>
    <m/>
    <s v="1234567890"/>
    <m/>
    <x v="2"/>
    <s v=""/>
    <s v=""/>
    <s v=""/>
    <s v=""/>
    <x v="0"/>
    <d v="2018-10-03T06:30:31"/>
  </r>
  <r>
    <n v="582535"/>
    <s v="API"/>
    <s v="Admin"/>
    <x v="2"/>
    <s v="silver-admin@thinkhr.com"/>
    <s v="api-admin@silverclient.com"/>
    <m/>
    <s v="1234567890"/>
    <m/>
    <x v="1"/>
    <s v=""/>
    <s v=""/>
    <s v=""/>
    <s v=""/>
    <x v="0"/>
    <d v="2018-07-10T06:32:21"/>
  </r>
  <r>
    <n v="582536"/>
    <s v="API"/>
    <s v="User"/>
    <x v="2"/>
    <s v="silver-user@thinkhr.com"/>
    <s v="api-user@silverclient.com"/>
    <m/>
    <s v="1234567890"/>
    <m/>
    <x v="2"/>
    <s v=""/>
    <s v=""/>
    <s v=""/>
    <s v=""/>
    <x v="0"/>
    <d v="2018-07-10T06:32:21"/>
  </r>
  <r>
    <n v="582538"/>
    <s v="API"/>
    <s v="Admin"/>
    <x v="0"/>
    <s v="partner-admin@thinkhr.com"/>
    <s v="api-admin@partnerclient.com"/>
    <m/>
    <s v="1234567890"/>
    <m/>
    <x v="0"/>
    <s v=""/>
    <s v=""/>
    <s v=""/>
    <s v=""/>
    <x v="0"/>
    <m/>
  </r>
  <r>
    <n v="582540"/>
    <s v="API"/>
    <s v="User"/>
    <x v="0"/>
    <s v="partner-user@thinkhr.com"/>
    <s v="api-user@partnerclient.com"/>
    <m/>
    <s v="1234567890"/>
    <m/>
    <x v="3"/>
    <s v=""/>
    <s v=""/>
    <s v=""/>
    <s v=""/>
    <x v="0"/>
    <d v="2018-08-16T06:30:42"/>
  </r>
  <r>
    <n v="584645"/>
    <s v="Demo"/>
    <s v="User"/>
    <x v="4"/>
    <s v="ajain@thinkhr.com"/>
    <s v="demouserj@thinkhr.com"/>
    <s v="HR Director"/>
    <s v="800.000.0000"/>
    <s v="HR"/>
    <x v="1"/>
    <s v=""/>
    <s v=""/>
    <s v=""/>
    <s v=""/>
    <x v="0"/>
    <m/>
  </r>
  <r>
    <n v="584672"/>
    <s v="Demo"/>
    <s v="User"/>
    <x v="4"/>
    <s v="cfranco@thinkhr.com"/>
    <s v="cfrancoCF@thinkhr.com"/>
    <m/>
    <s v="9252251100"/>
    <m/>
    <x v="1"/>
    <s v=""/>
    <s v=""/>
    <s v=""/>
    <s v=""/>
    <x v="0"/>
    <m/>
  </r>
  <r>
    <n v="585036"/>
    <s v="Student"/>
    <s v="User"/>
    <x v="4"/>
    <s v="cfranco@thinkhr.com"/>
    <s v="student@thinkhr.com"/>
    <m/>
    <s v="9252251100"/>
    <m/>
    <x v="2"/>
    <s v=""/>
    <s v=""/>
    <s v=""/>
    <s v=""/>
    <x v="0"/>
    <m/>
  </r>
  <r>
    <n v="590676"/>
    <s v="Test"/>
    <s v="Tester"/>
    <x v="0"/>
    <s v="cfranco@thinkhr.com"/>
    <s v="cfrancotester@thinkhr.com"/>
    <m/>
    <s v="(925) 225-1100"/>
    <m/>
    <x v="0"/>
    <s v=""/>
    <s v=""/>
    <s v=""/>
    <s v=""/>
    <x v="0"/>
    <m/>
  </r>
  <r>
    <n v="598640"/>
    <s v="Elvis"/>
    <s v="Presley"/>
    <x v="5"/>
    <s v="elvisp123@thinkhr.com"/>
    <s v="elvisp123@thinkhr.com"/>
    <s v="CEO"/>
    <s v="800-555-9999"/>
    <m/>
    <x v="1"/>
    <s v=""/>
    <s v=""/>
    <s v=""/>
    <s v=""/>
    <x v="0"/>
    <m/>
  </r>
  <r>
    <n v="598642"/>
    <s v="Jerry Lee"/>
    <s v="Lewis"/>
    <x v="6"/>
    <s v="jerrylee123@thinkhr.com"/>
    <s v="jerrylee123@thinkhr.com"/>
    <s v="CEO"/>
    <s v="844-222-3333"/>
    <m/>
    <x v="1"/>
    <s v=""/>
    <s v=""/>
    <s v=""/>
    <s v=""/>
    <x v="0"/>
    <d v="2018-08-16T06:30:33"/>
  </r>
  <r>
    <n v="598644"/>
    <s v="Chuck"/>
    <s v="Berry"/>
    <x v="7"/>
    <s v="chuckb123@thinkhr.com"/>
    <s v="chuckb123@thinkhr.com"/>
    <m/>
    <s v="877-366-3333"/>
    <m/>
    <x v="1"/>
    <s v=""/>
    <s v=""/>
    <s v=""/>
    <s v=""/>
    <x v="0"/>
    <m/>
  </r>
  <r>
    <n v="599445"/>
    <s v="Maddie"/>
    <s v="Muffin"/>
    <x v="3"/>
    <s v="akhdfhni@gmail.com"/>
    <s v="akhdfhni@gmail.com"/>
    <m/>
    <s v="5982843268"/>
    <m/>
    <x v="2"/>
    <s v=""/>
    <s v=""/>
    <s v=""/>
    <s v=""/>
    <x v="0"/>
    <d v="2018-08-16T06:30:28"/>
  </r>
  <r>
    <n v="699632"/>
    <s v="Mary"/>
    <s v="Griffin"/>
    <x v="3"/>
    <s v="mgriffin@thinkhr.com"/>
    <s v="mgriffin5@thinkhr.com"/>
    <m/>
    <s v="9252251100246"/>
    <m/>
    <x v="1"/>
    <s v=""/>
    <s v=""/>
    <s v=""/>
    <s v=""/>
    <x v="0"/>
    <d v="2018-09-12T06:30:14"/>
  </r>
  <r>
    <n v="699883"/>
    <s v="Angel"/>
    <s v="Test"/>
    <x v="3"/>
    <s v="thinkhrexecustaff@gmail.com"/>
    <s v="angeltest@testthinkhr.com"/>
    <m/>
    <s v="000-000-0000"/>
    <m/>
    <x v="2"/>
    <s v=""/>
    <s v=""/>
    <s v=""/>
    <s v=""/>
    <x v="0"/>
    <m/>
  </r>
  <r>
    <n v="699990"/>
    <s v="Jane"/>
    <s v="Johnson"/>
    <x v="3"/>
    <s v="blopusnak@thinkhr.com"/>
    <s v="blopusnak1@thinkhr.com"/>
    <s v="HR Advisor"/>
    <s v="9255555555"/>
    <s v="Human Resources"/>
    <x v="1"/>
    <s v=""/>
    <s v=""/>
    <s v=""/>
    <s v=""/>
    <x v="0"/>
    <d v="2018-09-12T06:30:14"/>
  </r>
  <r>
    <n v="701171"/>
    <s v="Bethany"/>
    <s v="Lopusnak"/>
    <x v="3"/>
    <s v="blopusnak@thinkhr.com"/>
    <s v="blopusnak3@thinkhr.com"/>
    <s v="HR Director"/>
    <s v="9255555555"/>
    <s v="Human Resources"/>
    <x v="1"/>
    <s v=""/>
    <s v=""/>
    <s v=""/>
    <s v=""/>
    <x v="0"/>
    <d v="2018-09-12T06:30:14"/>
  </r>
  <r>
    <n v="701434"/>
    <s v="Mary"/>
    <s v="Loves the Summer"/>
    <x v="3"/>
    <s v="mlovesthesummer@thinkhr.com"/>
    <s v="mgriffin6@thinkhr.com"/>
    <m/>
    <s v="555555555"/>
    <m/>
    <x v="1"/>
    <s v=""/>
    <s v=""/>
    <s v=""/>
    <s v=""/>
    <x v="0"/>
    <m/>
  </r>
  <r>
    <n v="701554"/>
    <s v="Mary"/>
    <s v="Work faster"/>
    <x v="3"/>
    <s v="mwork@thinkhr.com"/>
    <s v="mworkfast@thinkhr.com"/>
    <m/>
    <s v="9258196157"/>
    <m/>
    <x v="1"/>
    <s v=""/>
    <s v=""/>
    <s v=""/>
    <s v=""/>
    <x v="0"/>
    <m/>
  </r>
  <r>
    <n v="701560"/>
    <s v="Mary"/>
    <s v="Testing"/>
    <x v="3"/>
    <s v="mgri@thinkhr.com"/>
    <s v="mgri@thinkhr.com"/>
    <m/>
    <s v="9258196157"/>
    <m/>
    <x v="1"/>
    <s v=""/>
    <s v=""/>
    <s v=""/>
    <s v=""/>
    <x v="0"/>
    <m/>
  </r>
  <r>
    <n v="702197"/>
    <s v="Susie"/>
    <s v="Smith"/>
    <x v="0"/>
    <s v="ssmith@xyz123.com"/>
    <s v="ssmith@xyz123.com"/>
    <s v="AE"/>
    <s v="123-123-1234"/>
    <s v="Sales"/>
    <x v="2"/>
    <s v=""/>
    <s v=""/>
    <s v=""/>
    <s v=""/>
    <x v="0"/>
    <m/>
  </r>
  <r>
    <n v="702956"/>
    <s v="Susie"/>
    <s v="Jones"/>
    <x v="0"/>
    <s v="abc123@abckrst1234.com"/>
    <s v="abc123@abckrst1234.com"/>
    <s v="Management"/>
    <s v="925-784-1235"/>
    <s v="Management"/>
    <x v="2"/>
    <s v=""/>
    <s v=""/>
    <s v=""/>
    <s v=""/>
    <x v="0"/>
    <m/>
  </r>
  <r>
    <n v="702957"/>
    <s v="DeeDee"/>
    <s v="Miller"/>
    <x v="0"/>
    <s v="abc234@abckrst1234.com"/>
    <s v="abc234@abckrst1234.com"/>
    <s v="Management"/>
    <s v="925-784-1236"/>
    <s v="Management"/>
    <x v="2"/>
    <s v=""/>
    <s v=""/>
    <s v=""/>
    <s v=""/>
    <x v="0"/>
    <m/>
  </r>
  <r>
    <n v="702958"/>
    <s v="Joanna"/>
    <s v="Sanchez"/>
    <x v="0"/>
    <s v="2354@abckrst1234.com"/>
    <s v="2354@abckrst1234.com"/>
    <s v="Management"/>
    <s v="925-784-1237"/>
    <s v="Management"/>
    <x v="2"/>
    <s v=""/>
    <s v=""/>
    <s v=""/>
    <s v=""/>
    <x v="0"/>
    <m/>
  </r>
  <r>
    <n v="702959"/>
    <s v="Paula"/>
    <s v="Garcia"/>
    <x v="0"/>
    <s v="werwe@abckrst1234.com"/>
    <s v="werwe@abckrst1234.com"/>
    <s v="Management"/>
    <s v="925-784-1238"/>
    <s v="Management"/>
    <x v="2"/>
    <s v=""/>
    <s v=""/>
    <s v=""/>
    <s v=""/>
    <x v="0"/>
    <m/>
  </r>
  <r>
    <n v="702960"/>
    <s v="Ravindra"/>
    <s v="Arjun"/>
    <x v="0"/>
    <s v="werwds@abckrst1234.com"/>
    <s v="werwds@abckrst1234.com"/>
    <s v="Management"/>
    <s v="925-784-1239"/>
    <s v="Management"/>
    <x v="2"/>
    <s v=""/>
    <s v=""/>
    <s v=""/>
    <s v=""/>
    <x v="0"/>
    <m/>
  </r>
  <r>
    <n v="702961"/>
    <s v="Natalie"/>
    <s v="Arndt"/>
    <x v="0"/>
    <s v="qwer@abckrst1234.com"/>
    <s v="qwer@abckrst1234.com"/>
    <s v="Management"/>
    <s v="925-784-1240"/>
    <s v="Management"/>
    <x v="2"/>
    <s v=""/>
    <s v=""/>
    <s v=""/>
    <s v=""/>
    <x v="0"/>
    <m/>
  </r>
  <r>
    <n v="702962"/>
    <s v="Crystal"/>
    <s v="Thomas"/>
    <x v="0"/>
    <s v="sdfh@abckrst1234.com"/>
    <s v="sdfh@abckrst1234.com"/>
    <s v="Management"/>
    <s v="925-784-1241"/>
    <s v="Management"/>
    <x v="2"/>
    <s v=""/>
    <s v=""/>
    <s v=""/>
    <s v=""/>
    <x v="0"/>
    <m/>
  </r>
  <r>
    <n v="702963"/>
    <s v="Shakirah"/>
    <s v="Baldwin-Boyce"/>
    <x v="0"/>
    <s v="nbre@abckrst1234.com"/>
    <s v="nbre@abckrst1234.com"/>
    <s v="Management"/>
    <s v="925-784-1242"/>
    <s v="Management"/>
    <x v="2"/>
    <s v=""/>
    <s v=""/>
    <s v=""/>
    <s v=""/>
    <x v="0"/>
    <m/>
  </r>
  <r>
    <n v="702964"/>
    <s v="Dawn"/>
    <s v="Ballard"/>
    <x v="0"/>
    <s v="asrhb@abckrst1234.com"/>
    <s v="asrhb@abckrst1234.com"/>
    <s v="Management"/>
    <s v="925-784-1243"/>
    <s v="Management"/>
    <x v="2"/>
    <s v=""/>
    <s v=""/>
    <s v=""/>
    <s v=""/>
    <x v="0"/>
    <m/>
  </r>
  <r>
    <n v="702965"/>
    <s v="Melissa"/>
    <s v="Banks"/>
    <x v="0"/>
    <s v="4rfwrtbh@abckrst1234.com"/>
    <s v="4rfwrtbh@abckrst1234.com"/>
    <s v="Management"/>
    <s v="925-784-1244"/>
    <s v="Management"/>
    <x v="2"/>
    <s v=""/>
    <s v=""/>
    <s v=""/>
    <s v=""/>
    <x v="0"/>
    <m/>
  </r>
  <r>
    <n v="702966"/>
    <s v="Gloria"/>
    <s v="Barajas"/>
    <x v="0"/>
    <s v="1tyrr236@abckrst1234.com"/>
    <s v="1tyrr236r@bckrst1234.com"/>
    <s v="Management"/>
    <s v="925-784-1245"/>
    <s v="Management"/>
    <x v="2"/>
    <s v=""/>
    <s v=""/>
    <s v=""/>
    <s v=""/>
    <x v="0"/>
    <m/>
  </r>
  <r>
    <n v="702967"/>
    <s v="DeeDee"/>
    <s v="Barefield"/>
    <x v="0"/>
    <s v="3eftyhbv@abckrst1234.com"/>
    <s v="3eftyhbv@abckrst1234.com"/>
    <s v="Management"/>
    <s v="925-784-1246"/>
    <s v="Management"/>
    <x v="2"/>
    <s v=""/>
    <s v=""/>
    <s v=""/>
    <s v=""/>
    <x v="0"/>
    <m/>
  </r>
  <r>
    <n v="702968"/>
    <s v="Joanna"/>
    <s v="Barnes"/>
    <x v="0"/>
    <s v="werq@abckrst1234.com"/>
    <s v="werq@abckrst1234.com"/>
    <s v="Advisor"/>
    <s v="925-784-1247"/>
    <s v="Advisor"/>
    <x v="2"/>
    <s v=""/>
    <s v=""/>
    <s v=""/>
    <s v=""/>
    <x v="0"/>
    <m/>
  </r>
  <r>
    <n v="702969"/>
    <s v="Paula"/>
    <s v="Barron"/>
    <x v="0"/>
    <s v="cxfbvdasrfgsad@abckrst1234.com"/>
    <s v="cxfbvdasrfgsad@abckrst1234.com"/>
    <s v="Advisor"/>
    <s v="925-784-1248"/>
    <s v="Advisor"/>
    <x v="2"/>
    <s v=""/>
    <s v=""/>
    <s v=""/>
    <s v=""/>
    <x v="0"/>
    <m/>
  </r>
  <r>
    <n v="702970"/>
    <s v="Ravindra"/>
    <s v="Baumann"/>
    <x v="0"/>
    <s v="eaasdectr865@abckrst1234.com"/>
    <s v="eaasdectr865@abckrst1234.com"/>
    <s v="Advisor"/>
    <s v="925-784-1249"/>
    <s v="Advisor"/>
    <x v="2"/>
    <s v=""/>
    <s v=""/>
    <s v=""/>
    <s v=""/>
    <x v="0"/>
    <m/>
  </r>
  <r>
    <n v="702971"/>
    <s v="Natalie"/>
    <s v="Becerra"/>
    <x v="0"/>
    <s v="34rd@abckrst1234.com"/>
    <s v="34rd@abckrst1234.com"/>
    <s v="Advisor"/>
    <s v="925-784-1250"/>
    <s v="Advisor"/>
    <x v="2"/>
    <s v=""/>
    <s v=""/>
    <s v=""/>
    <s v=""/>
    <x v="0"/>
    <m/>
  </r>
  <r>
    <n v="702972"/>
    <s v="Lisa"/>
    <s v="Bennett-Watson"/>
    <x v="0"/>
    <s v="yi875vbmn@abckrst1234.com"/>
    <s v="yi875vbmn@abckrst1234.com"/>
    <s v="Advisor"/>
    <s v="925-784-1251"/>
    <s v="Advisor"/>
    <x v="2"/>
    <s v=""/>
    <s v=""/>
    <s v=""/>
    <s v=""/>
    <x v="0"/>
    <m/>
  </r>
  <r>
    <n v="702973"/>
    <s v="Saheem"/>
    <s v="Mahmood"/>
    <x v="0"/>
    <s v="smahmood@abckrst1234.com"/>
    <s v="smahmood@abckrst1234.com"/>
    <s v="Advisor"/>
    <s v="925-784-1252"/>
    <s v="Advisor"/>
    <x v="2"/>
    <s v=""/>
    <s v=""/>
    <s v=""/>
    <s v=""/>
    <x v="0"/>
    <m/>
  </r>
  <r>
    <n v="702974"/>
    <s v="Erica"/>
    <s v="Manley"/>
    <x v="0"/>
    <s v="ekrauss@abckrst1234.com"/>
    <s v="ekrauss@abckrst1234.com"/>
    <s v="Advisor"/>
    <s v="925-784-1253"/>
    <s v="Advisor"/>
    <x v="2"/>
    <s v=""/>
    <s v=""/>
    <s v=""/>
    <s v=""/>
    <x v="0"/>
    <m/>
  </r>
  <r>
    <n v="702975"/>
    <s v="Leonora"/>
    <s v="Marquez"/>
    <x v="0"/>
    <s v="lmarquez@abckrst1234.com"/>
    <s v="lmarquez@abckrst1234.com"/>
    <s v="Advisor"/>
    <s v="925-784-1254"/>
    <s v="Advisor"/>
    <x v="2"/>
    <s v=""/>
    <s v=""/>
    <s v=""/>
    <s v=""/>
    <x v="0"/>
    <m/>
  </r>
  <r>
    <n v="702976"/>
    <s v="Eric"/>
    <s v="Marrs"/>
    <x v="0"/>
    <s v="emarrs@abckrst1234.com"/>
    <s v="emarrs@abckrst1234.com"/>
    <s v="Tech Support"/>
    <s v="925-784-1255"/>
    <s v="Tech Support"/>
    <x v="2"/>
    <s v=""/>
    <s v=""/>
    <s v=""/>
    <s v=""/>
    <x v="0"/>
    <m/>
  </r>
  <r>
    <n v="702977"/>
    <s v="Abagale"/>
    <s v="White"/>
    <x v="0"/>
    <s v="awhite@abckrst1234.com"/>
    <s v="awhite@abckrst1234.com"/>
    <s v="Tech Support"/>
    <s v="925-784-1256"/>
    <s v="Tech Support"/>
    <x v="2"/>
    <s v=""/>
    <s v=""/>
    <s v=""/>
    <s v=""/>
    <x v="0"/>
    <m/>
  </r>
  <r>
    <n v="702978"/>
    <s v="Mary"/>
    <s v="White-Walker"/>
    <x v="0"/>
    <s v="mwhite@abckrst1234.com"/>
    <s v="mwhite@abckrst1234.com"/>
    <s v="Tech Support"/>
    <s v="925-784-1257"/>
    <s v="Tech Support"/>
    <x v="2"/>
    <s v=""/>
    <s v=""/>
    <s v=""/>
    <s v=""/>
    <x v="0"/>
    <m/>
  </r>
  <r>
    <n v="702979"/>
    <s v="Larry"/>
    <s v="Whitted"/>
    <x v="0"/>
    <s v="lwhitted@abckrst1234.com"/>
    <s v="lwhitted@abckrst1234.com"/>
    <s v="Tech Support"/>
    <s v="925-784-1258"/>
    <s v="Tech Support"/>
    <x v="2"/>
    <s v=""/>
    <s v=""/>
    <s v=""/>
    <s v=""/>
    <x v="0"/>
    <m/>
  </r>
  <r>
    <n v="702980"/>
    <s v="Melissa"/>
    <s v="Williams"/>
    <x v="0"/>
    <s v="swilliams@abckrst1234.com"/>
    <s v="swilliams@abckrst1234.com"/>
    <s v="Tech Support"/>
    <s v="925-784-1259"/>
    <s v="Tech Support"/>
    <x v="2"/>
    <s v=""/>
    <s v=""/>
    <s v=""/>
    <s v=""/>
    <x v="0"/>
    <m/>
  </r>
  <r>
    <n v="702981"/>
    <s v="Nancy"/>
    <s v="Wilson"/>
    <x v="0"/>
    <s v="nwilson@abckrst1234.com"/>
    <s v="nwilson@abckrst1234.com"/>
    <s v="Tech Support"/>
    <s v="925-784-1260"/>
    <s v="Tech Support"/>
    <x v="2"/>
    <s v=""/>
    <s v=""/>
    <s v=""/>
    <s v=""/>
    <x v="0"/>
    <m/>
  </r>
  <r>
    <n v="702982"/>
    <s v="Beth"/>
    <s v="Wilson"/>
    <x v="0"/>
    <s v="sawilson@abckrst1234.com"/>
    <s v="sawilson@abckrst1234.com"/>
    <s v="Tech Support"/>
    <s v="925-784-1261"/>
    <s v="Tech Support"/>
    <x v="2"/>
    <s v=""/>
    <s v=""/>
    <s v=""/>
    <s v=""/>
    <x v="0"/>
    <m/>
  </r>
  <r>
    <n v="702983"/>
    <s v="Sara"/>
    <s v="Winters"/>
    <x v="0"/>
    <s v="swinters@abckrst1234.com"/>
    <s v="swinters@abckrst1234.com"/>
    <s v="Tech Support"/>
    <s v="925-784-1262"/>
    <s v="Tech Support"/>
    <x v="2"/>
    <s v=""/>
    <s v=""/>
    <s v=""/>
    <s v=""/>
    <x v="0"/>
    <m/>
  </r>
  <r>
    <n v="702984"/>
    <s v="Lena"/>
    <s v="Wolfe"/>
    <x v="0"/>
    <s v="lwolfe@abckrst1234.com"/>
    <s v="lwolfe@abckrst1234.com"/>
    <s v="Implementation"/>
    <s v="925-784-1263"/>
    <s v="Implementation"/>
    <x v="2"/>
    <s v=""/>
    <s v=""/>
    <s v=""/>
    <s v=""/>
    <x v="0"/>
    <m/>
  </r>
  <r>
    <n v="702985"/>
    <s v="Kyle"/>
    <s v="Woodruff"/>
    <x v="0"/>
    <s v="kwoodruff@abckrst1234.com"/>
    <s v="kwoodruff@abckrst1234.com"/>
    <s v="Implementation"/>
    <s v="925-784-1264"/>
    <s v="Implementation"/>
    <x v="2"/>
    <s v=""/>
    <s v=""/>
    <s v=""/>
    <s v=""/>
    <x v="0"/>
    <m/>
  </r>
  <r>
    <n v="702986"/>
    <s v="Ann"/>
    <s v="Worsham"/>
    <x v="0"/>
    <s v="aworsham@abckrst1234.com"/>
    <s v="aworsham@abckrst1234.com"/>
    <s v="Implementation"/>
    <s v="925-784-1265"/>
    <s v="Implementation"/>
    <x v="2"/>
    <s v=""/>
    <s v=""/>
    <s v=""/>
    <s v=""/>
    <x v="0"/>
    <m/>
  </r>
  <r>
    <n v="702987"/>
    <s v="Tomas"/>
    <s v="Yarbrough"/>
    <x v="0"/>
    <s v="byarbrough@abckrst1234.com"/>
    <s v="byarbrough@abckrst1234.com"/>
    <s v="Implementation"/>
    <s v="925-784-1266"/>
    <s v="Implementation"/>
    <x v="2"/>
    <s v=""/>
    <s v=""/>
    <s v=""/>
    <s v=""/>
    <x v="0"/>
    <m/>
  </r>
  <r>
    <n v="702988"/>
    <s v="Georgette"/>
    <s v="Young"/>
    <x v="0"/>
    <s v="gyoung@abckrst1234.com"/>
    <s v="gyoung@abckrst1234.com"/>
    <s v="Implementation"/>
    <s v="925-784-1267"/>
    <s v="Implementation"/>
    <x v="2"/>
    <s v=""/>
    <s v=""/>
    <s v=""/>
    <s v=""/>
    <x v="0"/>
    <m/>
  </r>
  <r>
    <n v="702989"/>
    <s v="Javier"/>
    <s v="Youngblood"/>
    <x v="0"/>
    <s v="ayoungblood@abckrst1234.com"/>
    <s v="ayoungblood@abckrst1234.com"/>
    <s v="Implementation"/>
    <s v="925-784-1268"/>
    <s v="Implementation"/>
    <x v="2"/>
    <s v=""/>
    <s v=""/>
    <s v=""/>
    <s v=""/>
    <x v="0"/>
    <m/>
  </r>
  <r>
    <n v="707509"/>
    <s v="Platinum"/>
    <s v="Contact"/>
    <x v="8"/>
    <s v="platinumclient@thinkhr.com"/>
    <s v="platinumclient@thinkhr.com"/>
    <m/>
    <s v="9252251100"/>
    <m/>
    <x v="1"/>
    <s v=""/>
    <s v=""/>
    <s v=""/>
    <s v=""/>
    <x v="0"/>
    <d v="2018-10-03T17:16:21"/>
  </r>
  <r>
    <n v="727939"/>
    <s v="Postman"/>
    <s v="Test"/>
    <x v="0"/>
    <s v="rsmith-gilbert@thinkhr.com"/>
    <s v="Postman.Test-e54db917-17ee-4ac9-b980-61e277dcc610"/>
    <m/>
    <s v="(310) 782-3569"/>
    <m/>
    <x v="3"/>
    <s v="custom value for 1"/>
    <s v="1531327133"/>
    <s v="858"/>
    <s v="374"/>
    <x v="0"/>
    <d v="2018-07-11T16:41:37"/>
  </r>
  <r>
    <n v="736302"/>
    <s v="Test"/>
    <n v="1"/>
    <x v="3"/>
    <s v="achin@thinkhr.com"/>
    <s v="TestCase1"/>
    <m/>
    <s v=""/>
    <m/>
    <x v="1"/>
    <s v=""/>
    <s v=""/>
    <s v=""/>
    <s v=""/>
    <x v="0"/>
    <d v="2018-07-20T23:41:57"/>
  </r>
  <r>
    <n v="736303"/>
    <s v="Test"/>
    <n v="2"/>
    <x v="3"/>
    <s v="achin@thinkhr.com"/>
    <s v="TestCase2"/>
    <m/>
    <s v=""/>
    <m/>
    <x v="1"/>
    <s v=""/>
    <s v=""/>
    <s v=""/>
    <s v=""/>
    <x v="0"/>
    <d v="2018-07-20T23:42:17"/>
  </r>
  <r>
    <n v="737175"/>
    <s v="Rebecca"/>
    <s v="Ruzich"/>
    <x v="9"/>
    <s v="achin@thinkhr.com"/>
    <s v="achin@thinkhr.com072318"/>
    <s v="b"/>
    <s v="(925) 225-1100"/>
    <s v="a"/>
    <x v="1"/>
    <s v=""/>
    <s v=""/>
    <s v=""/>
    <s v=""/>
    <x v="0"/>
    <d v="2018-07-24T00:18:13"/>
  </r>
  <r>
    <n v="737176"/>
    <s v="asdlkfj"/>
    <s v="aslkfdjsd"/>
    <x v="10"/>
    <s v="achin@thinkhr.com"/>
    <s v="achin@thinkhr.com-02"/>
    <s v="asdf"/>
    <s v="(925) 225-1100"/>
    <s v="asf"/>
    <x v="1"/>
    <s v=""/>
    <s v=""/>
    <s v=""/>
    <s v=""/>
    <x v="0"/>
    <d v="2018-07-24T00:27:09"/>
  </r>
  <r>
    <n v="829109"/>
    <s v="Danny"/>
    <s v="Demo"/>
    <x v="3"/>
    <s v="danny.demo@pacificgold.com"/>
    <s v="danny.demo@pacificgold.com"/>
    <s v="optional"/>
    <s v="(999) 999-9999"/>
    <s v="optional"/>
    <x v="2"/>
    <s v=""/>
    <s v=""/>
    <s v=""/>
    <s v=""/>
    <x v="0"/>
    <m/>
  </r>
  <r>
    <n v="944326"/>
    <s v="Just"/>
    <s v="Comply"/>
    <x v="11"/>
    <s v="justcomply@thinkhr.com"/>
    <s v="justcomply@thinkhr.com"/>
    <m/>
    <s v="(925) 225-1100"/>
    <m/>
    <x v="1"/>
    <s v=""/>
    <s v=""/>
    <s v=""/>
    <s v=""/>
    <x v="0"/>
    <d v="2018-09-07T22:10:47"/>
  </r>
  <r>
    <n v="956625"/>
    <s v="Robin"/>
    <s v="Smith"/>
    <x v="0"/>
    <s v="robin@computingdreams.com"/>
    <s v="robin@computingdreams.com"/>
    <m/>
    <s v="925-368-8685"/>
    <m/>
    <x v="0"/>
    <s v=""/>
    <s v=""/>
    <s v=""/>
    <s v=""/>
    <x v="0"/>
    <d v="2018-09-20T18:46:05"/>
  </r>
  <r>
    <n v="956626"/>
    <s v="Robin"/>
    <s v="Smith"/>
    <x v="0"/>
    <s v="robin@computingdreams.com"/>
    <s v="Robin_Smith_1"/>
    <m/>
    <s v="925-368-8685"/>
    <m/>
    <x v="0"/>
    <s v=""/>
    <s v=""/>
    <s v=""/>
    <s v=""/>
    <x v="0"/>
    <m/>
  </r>
  <r>
    <n v="956628"/>
    <s v="Robin"/>
    <s v="Smith"/>
    <x v="0"/>
    <s v="robin@computingdreams.com"/>
    <s v="Robin_Smith_2"/>
    <m/>
    <s v="925-368-8685"/>
    <m/>
    <x v="0"/>
    <s v=""/>
    <s v=""/>
    <s v=""/>
    <s v=""/>
    <x v="0"/>
    <m/>
  </r>
  <r>
    <n v="956629"/>
    <s v="Robin"/>
    <s v="Smith"/>
    <x v="0"/>
    <s v="robin@computingdreams.com"/>
    <s v="robin+1@computingdreams.com"/>
    <m/>
    <s v="925-368-8685"/>
    <m/>
    <x v="0"/>
    <s v=""/>
    <s v=""/>
    <s v=""/>
    <s v=""/>
    <x v="0"/>
    <m/>
  </r>
  <r>
    <n v="964150"/>
    <s v="Robin"/>
    <s v="Tester"/>
    <x v="0"/>
    <s v="rsmith-gilbert@thinkhr.com"/>
    <s v="RobinTester"/>
    <m/>
    <s v="925-555-1212"/>
    <m/>
    <x v="0"/>
    <s v=""/>
    <s v=""/>
    <s v=""/>
    <s v=""/>
    <x v="0"/>
    <m/>
  </r>
  <r>
    <n v="969838"/>
    <s v="Carl"/>
    <s v="Perkins"/>
    <x v="12"/>
    <s v="cperkins@bss.com"/>
    <s v="cxperkins"/>
    <s v="VP of Sales"/>
    <s v="(999) 999-9999"/>
    <s v="Sales"/>
    <x v="1"/>
    <s v=""/>
    <s v=""/>
    <s v=""/>
    <s v=""/>
    <x v="0"/>
    <d v="2018-10-02T19:13:16"/>
  </r>
  <r>
    <n v="970666"/>
    <s v="out"/>
    <s v="test"/>
    <x v="0"/>
    <s v="robin@computingdreams.com"/>
    <s v="out_test_1"/>
    <m/>
    <s v="###-###-####"/>
    <m/>
    <x v="0"/>
    <s v=""/>
    <s v=""/>
    <s v=""/>
    <s v=""/>
    <x v="0"/>
    <m/>
  </r>
  <r>
    <n v="970669"/>
    <s v="outbound"/>
    <s v="test"/>
    <x v="0"/>
    <s v="rsmith-gilbert@thinkhr.com"/>
    <s v="outbound_test_1"/>
    <m/>
    <s v="###-###-####"/>
    <m/>
    <x v="0"/>
    <s v=""/>
    <s v=""/>
    <s v=""/>
    <s v=""/>
    <x v="0"/>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r>
    <m/>
    <m/>
    <m/>
    <x v="13"/>
    <m/>
    <m/>
    <m/>
    <m/>
    <m/>
    <x v="4"/>
    <m/>
    <m/>
    <m/>
    <m/>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39">
  <r>
    <n v="407498"/>
    <n v="536787"/>
    <s v="Silver"/>
    <s v="Contact"/>
    <s v="silverclient@thinkhr.com"/>
    <s v="Pacific Silver"/>
    <n v="536787"/>
    <s v="Silver"/>
    <s v="Contact"/>
    <s v="silverclient@thinkhr.com"/>
    <x v="0"/>
    <x v="0"/>
    <x v="0"/>
    <d v="2018-04-23T00:00:00"/>
    <s v="&lt;p&gt;test ignore&lt;/p&gt;_x000d__x000d__x000a_"/>
  </r>
  <r>
    <n v="407499"/>
    <n v="536787"/>
    <s v="Silver"/>
    <s v="Contact"/>
    <s v="silverclient@thinkhr.com"/>
    <s v="Pacific Silver"/>
    <n v="536787"/>
    <s v="Silver"/>
    <s v="Contact"/>
    <s v="silverclient@thinkhr.com"/>
    <x v="0"/>
    <x v="0"/>
    <x v="0"/>
    <d v="2018-04-23T00:00:00"/>
    <s v="&lt;p&gt;test ignore&lt;/p&gt;_x000d__x000d__x000a_"/>
  </r>
  <r>
    <n v="407516"/>
    <n v="536789"/>
    <s v="Gold"/>
    <s v="Contact"/>
    <s v="ajain@thinkhr.com"/>
    <s v="Pacific Gold"/>
    <n v="536789"/>
    <s v="Gold"/>
    <s v="Contact"/>
    <s v="ajain@thinkhr.com"/>
    <x v="1"/>
    <x v="1"/>
    <x v="1"/>
    <d v="2018-04-23T00:00:00"/>
    <s v="test ignore"/>
  </r>
  <r>
    <n v="407517"/>
    <n v="536789"/>
    <s v="Gold"/>
    <s v="Contact"/>
    <s v="ajain@thinkhr.com"/>
    <s v="Pacific Gold"/>
    <n v="536789"/>
    <s v="Gold"/>
    <s v="Contact"/>
    <s v="ajain@thinkhr.com"/>
    <x v="1"/>
    <x v="2"/>
    <x v="1"/>
    <d v="2018-04-23T00:00:00"/>
    <s v="test ignore"/>
  </r>
  <r>
    <n v="425777"/>
    <m/>
    <s v=""/>
    <s v=""/>
    <s v=""/>
    <s v=""/>
    <n v="699632"/>
    <s v="Mary"/>
    <s v="Griffin"/>
    <s v="mgriffin@thinkhr.com"/>
    <x v="1"/>
    <x v="1"/>
    <x v="0"/>
    <d v="2018-06-26T00:00:00"/>
    <s v="&lt;p&gt;Test&lt;/p&gt;_x000d__x000d__x000a_"/>
  </r>
  <r>
    <n v="425782"/>
    <m/>
    <s v=""/>
    <s v=""/>
    <s v=""/>
    <s v=""/>
    <n v="699632"/>
    <s v="Mary"/>
    <s v="Griffin"/>
    <s v="mgriffin@thinkhr.com"/>
    <x v="1"/>
    <x v="0"/>
    <x v="1"/>
    <d v="2018-06-26T00:00:00"/>
    <s v="&lt;p&gt;&lt;strong&gt;From : &lt;/strong&gt;mgriffin@thinkhr.com&lt;/p&gt;&lt;p&gt;&lt;strong&gt;Subject : &lt;/strong&gt;RE: Your ThinkHR Live Issue Response [[425777-426012-1]]&lt;/p&gt;Testing cancellation._x000d__x000d__x000a__x000d__x000d__x000a_From: HR-Hotline@thinkhr.com &lt;HR-Hotline@thinkhr.com&gt;_x000d__x000d__x000a_Sent: Tuesday, June 26, 2018 11:12 AM_x000d__x000d__x000a_To: Mary Griffin &lt;mgriffin@thinkhr.com&gt;_x000d__x000d__x000a_Subject: Your ThinkHR Live Issue Response [[425777-426012-1]]_x000d__x000d__x000a__x000d__x000d__x000a__x000d__x000d__x000a_[http://www.thinkhr.com/emailers/imgs/top_image_blue.jpg]_x000d__x000d__x000a__x000d__x000d__x000a__x000d__x000d__x000a__x000d__x000d__x000a__x000d__x000d__x000a_Dear Mary,_x000d__x000d__x000a__x000d__x000d__x000a_Thank you for contacting ThinkHR's Hotline and allowing us the opportunity to work with you on your HR issue._x000d__x000d__x000a__x000d__x000d__x000a_&lt;hr/&gt;_x000d__x000d__x000a_Your Question:_x000d__x000d__x000a__x000d__x000d__x000a_Test_x000d__x000d__x000a__x000d__x000d__x000a_&lt;hr/&gt;_x000d__x000d__x000a_Our Response:_x000d__x000d__x000a__x000d__x000d__x000a_Testing_x000d__x000d__x000a__x000d__x000d__x000a_We'd appreciate your feedback. Please take a moment to tell us how we did: Click here&lt;http://send.thinkhr.com/wf/click?upn=WXrhO61y8Qoc-2FsMhgBd9DB8ziXmB7SHdZJBJgjEoQr5gpAV85FBJgnWZMjCdirXLjfKn2m8w-2BE80OjjabiZQtLhLE45hrpY4Hnb4otblRlmkTnlInFD-2BP-2FmCgFF3wckx_NqnJyYTpUYjfQN0S16U715eGnFUgrwKXdhqUu0R7TlCc2jpwbZspsgw-2BIq2Jj3Mic51hAe0VU6Oxrqwt3Y0KlW2UlV2y4-2Fg-2FgHDrpraQs2zjbcaAcg8oTOpqK4v1XXrDD4tkL49ne4ijkpSw02uyk-2FxOuQzvYhKjyLdw5SM3sSikBhAYSQdMROb79i9948bOtS6CeW-2FKw1dKesg6OmFS3-2Bi5msguJzRPrdNJmfTSaQRNpCi3jzKAHPJDgA9PKJ9XT9Y9JLDJ-2FhgFMeERSbIHuTttVy8e0H1QtNH3i-2FHq2Ow-2F0LC628szTUc-2BhQrxo9nq&gt; to begin._x000d__x000d__x000a__x000d__x000d__x000a_Best Regards,_x000d__x000d__x000a__x000d__x000d__x000a_Mary Griffin, PHR, SHRM-CP_x000d__x000d__x000a_Lead HR Advisor_x000d__x000d__x000a__x000d__x000d__x000a_ThinkHR provides practical human resources information and guidance based upon our experience in the industry and our experience with our clients.  ThinkHR services are not intended to be a substitute for professional advice.  ThinkHR services are designed to provide general information to human resources and/or business professionals regarding human resources situations commonly encountered.  Given the changing nature of federal, state and local legislation and the changing nature of court decisions, ThinkHR and your sponsoring business cannot and will not guarantee that the information is completely current or accurate.  ThinkHR services do not include or constitute legal, business, international, regulatory, insurance, tax or financial advice.  Use of our services, whether by phone, email or via the website shall indicate your acceptance of ThinkHR's user agreement._x000d__x000d__x000a__x000d__x000d__x000a__x000d__x000d__x000a__x000d__x000d__x000a__x000d__x000d__x000a_ThinkHR_x000d__x000d__x000a_http://www.thinkhr.com&lt;http://send.thinkhr.com/wf/click?upn=IA76QuC-2Bqv1B3JFoRDXC-2Bfbaphx65L-2FP6SvIuLwS5Fk-3D_NqnJyYTpUYjfQN0S16U715eGnFUgrwKXdhqUu0R7TlCc2jpwbZspsgw-2BIq2Jj3Mic51hAe0VU6Oxrqwt3Y0KlW2UlV2y4-2Fg-2FgHDrpraQs2zjbcaAcg8oTOpqK4v1XXrDsRLSxeYIYbsdK3SEsEUHc69CFCfMoq1BBHEIF82kUEcRKCurBZGwDx0FG3SqEw-2B3K-2FFd5otDdRSRAefWfEXD-2FNMUTNovE9zUYR6wblGvcpj4Oi22FN-2FFa3VmBVzG4aWgQ5T6Jn4uGgx6qEf6Ho4rok95D0dSZ5J5bnF68txdp2l9Mv-2BVWFZymPu2od9WO-2B8J&gt;_x000d__x000d__x000a_877.225.1101_x000d__x000d__x000a__x000d__x000d__x000a_[http://www.thinkhr.com/emailers/imgs/ThinkHR_Small.png]&lt;http://send.thinkhr.com/wf/click?upn=IA76QuC-2Bqv1B3JFoRDXC-2Bfbaphx65L-2FP6SvIuLwS5Fk-3D_NqnJyYTpUYjfQN0S16U715eGnFUgrwKXdhqUu0R7TlCc2jpwbZspsgw-2BIq2Jj3Mic51hAe0VU6Oxrqwt3Y0KlW2UlV2y4-2Fg-2FgHDrpraQs2zjbcaAcg8oTOpqK4v1XXrDBGJu5LFzE5BxAJB-2Fh2nH5s9VAFHrWtHx45wiWJrJXk5svGGYsxHnAL3uGynfOr2etU2rXLVfxtyrZjbwf4Bog1vrz0DlP7aHoLI-2BoJLUDMjkoEqPRVY4wuPSGeTlFBv8mR5yHNlXfItZ3GIhCcSlHkVtlpe83Xgv6AFYzYg8SoaQW9qsxoedahBIgRopi28-2B&gt;_x000d__x000d__x000a__x000d__x000d__x000a__x000d__x000d__x000a__x000d__x000d__x000a__x000d__x000d__x000a_"/>
  </r>
  <r>
    <n v="425788"/>
    <m/>
    <s v=""/>
    <s v=""/>
    <s v=""/>
    <s v=""/>
    <n v="699632"/>
    <s v="Mary"/>
    <s v="Griffin"/>
    <s v="mgriffin@thinkhr.com"/>
    <x v="1"/>
    <x v="0"/>
    <x v="1"/>
    <d v="2018-06-26T00:00:00"/>
    <s v="&lt;p&gt;&lt;strong&gt;From : &lt;/strong&gt;mgriffin@thinkhr.com&lt;/p&gt;&lt;p&gt;&lt;strong&gt;Subject : &lt;/strong&gt;RE: Your ThinkHR Live Issue Response [[425777-426012-1]]&lt;/p&gt;Testing. Follow up question._x000d__x000d__x000a__x000d__x000d__x000a_From: HR-Hotline@thinkhr.com &lt;HR-Hotline@thinkhr.com&gt;_x000d__x000d__x000a_Sent: Tuesday, June 26, 2018 11:12 AM_x000d__x000d__x000a_To: Mary Griffin &lt;mgriffin@thinkhr.com&gt;_x000d__x000d__x000a_Subject: Your ThinkHR Live Issue Response [[425777-426012-1]]_x000d__x000d__x000a__x000d__x000d__x000a__x000d__x000d__x000a_[http://www.thinkhr.com/emailers/imgs/top_image_blue.jpg]_x000d__x000d__x000a__x000d__x000d__x000a__x000d__x000d__x000a__x000d__x000d__x000a__x000d__x000d__x000a_Dear Mary,_x000d__x000d__x000a__x000d__x000d__x000a_Thank you for contacting ThinkHR's Hotline and allowing us the opportunity to work with you on your HR issue._x000d__x000d__x000a__x000d__x000d__x000a_&lt;hr/&gt;_x000d__x000d__x000a_Your Question:_x000d__x000d__x000a__x000d__x000d__x000a_Test_x000d__x000d__x000a__x000d__x000d__x000a_&lt;hr/&gt;_x000d__x000d__x000a_Our Response:_x000d__x000d__x000a__x000d__x000d__x000a_Testing_x000d__x000d__x000a__x000d__x000d__x000a_We'd appreciate your feedback. Please take a moment to tell us how we did: Click here&lt;http://send.thinkhr.com/wf/click?upn=WXrhO61y8Qoc-2FsMhgBd9DB8ziXmB7SHdZJBJgjEoQr5gpAV85FBJgnWZMjCdirXLjfKn2m8w-2BE80OjjabiZQtLhLE45hrpY4Hnb4otblRlmkTnlInFD-2BP-2FmCgFF3wckx_NqnJyYTpUYjfQN0S16U715eGnFUgrwKXdhqUu0R7TlCc2jpwbZspsgw-2BIq2Jj3Mic51hAe0VU6Oxrqwt3Y0KlW2UlV2y4-2Fg-2FgHDrpraQs2zjbcaAcg8oTOpqK4v1XXrDD4tkL49ne4ijkpSw02uyk-2FxOuQzvYhKjyLdw5SM3sSikBhAYSQdMROb79i9948bOtS6CeW-2FKw1dKesg6OmFS3-2Bi5msguJzRPrdNJmfTSaQRNpCi3jzKAHPJDgA9PKJ9XT9Y9JLDJ-2FhgFMeERSbIHuTttVy8e0H1QtNH3i-2FHq2Ow-2F0LC628szTUc-2BhQrxo9nq&gt; to begin._x000d__x000d__x000a__x000d__x000d__x000a_Best Regards,_x000d__x000d__x000a__x000d__x000d__x000a_Mary Griffin, PHR, SHRM-CP_x000d__x000d__x000a_Lead HR Advisor_x000d__x000d__x000a__x000d__x000d__x000a_ThinkHR provides practical human resources information and guidance based upon our experience in the industry and our experience with our clients.  ThinkHR services are not intended to be a substitute for professional advice.  ThinkHR services are designed to provide general information to human resources and/or business professionals regarding human resources situations commonly encountered.  Given the changing nature of federal, state and local legislation and the changing nature of court decisions, ThinkHR and your sponsoring business cannot and will not guarantee that the information is completely current or accurate.  ThinkHR services do not include or constitute legal, business, international, regulatory, insurance, tax or financial advice.  Use of our services, whether by phone, email or via the website shall indicate your acceptance of ThinkHR's user agreement._x000d__x000d__x000a__x000d__x000d__x000a__x000d__x000d__x000a__x000d__x000d__x000a__x000d__x000d__x000a_ThinkHR_x000d__x000d__x000a_http://www.thinkhr.com&lt;http://send.thinkhr.com/wf/click?upn=IA76QuC-2Bqv1B3JFoRDXC-2Bfbaphx65L-2FP6SvIuLwS5Fk-3D_NqnJyYTpUYjfQN0S16U715eGnFUgrwKXdhqUu0R7TlCc2jpwbZspsgw-2BIq2Jj3Mic51hAe0VU6Oxrqwt3Y0KlW2UlV2y4-2Fg-2FgHDrpraQs2zjbcaAcg8oTOpqK4v1XXrDsRLSxeYIYbsdK3SEsEUHc69CFCfMoq1BBHEIF82kUEcRKCurBZGwDx0FG3SqEw-2B3K-2FFd5otDdRSRAefWfEXD-2FNMUTNovE9zUYR6wblGvcpj4Oi22FN-2FFa3VmBVzG4aWgQ5T6Jn4uGgx6qEf6Ho4rok95D0dSZ5J5bnF68txdp2l9Mv-2BVWFZymPu2od9WO-2B8J&gt;_x000d__x000d__x000a_877.225.1101_x000d__x000d__x000a__x000d__x000d__x000a_[http://www.thinkhr.com/emailers/imgs/ThinkHR_Small.png]&lt;http://send.thinkhr.com/wf/click?upn=IA76QuC-2Bqv1B3JFoRDXC-2Bfbaphx65L-2FP6SvIuLwS5Fk-3D_NqnJyYTpUYjfQN0S16U715eGnFUgrwKXdhqUu0R7TlCc2jpwbZspsgw-2BIq2Jj3Mic51hAe0VU6Oxrqwt3Y0KlW2UlV2y4-2Fg-2FgHDrpraQs2zjbcaAcg8oTOpqK4v1XXrDBGJu5LFzE5BxAJB-2Fh2nH5s9VAFHrWtHx45wiWJrJXk5svGGYsxHnAL3uGynfOr2etU2rXLVfxtyrZjbwf4Bog1vrz0DlP7aHoLI-2BoJLUDMjkoEqPRVY4wuPSGeTlFBv8mR5yHNlXfItZ3GIhCcSlHkVtlpe83Xgv6AFYzYg8SoaQW9qsxoedahBIgRopi28-2B&gt;_x000d__x000d__x000a__x000d__x000d__x000a__x000d__x000d__x000a__x000d__x000d__x000a__x000d__x000d__x000a_"/>
  </r>
  <r>
    <n v="429359"/>
    <m/>
    <s v=""/>
    <s v=""/>
    <s v=""/>
    <s v=""/>
    <n v="699632"/>
    <s v="Mary"/>
    <s v="Griffin"/>
    <s v="mgriffin@thinkhr.com"/>
    <x v="1"/>
    <x v="3"/>
    <x v="0"/>
    <d v="2018-07-10T00:00:00"/>
    <s v="&lt;p&gt;Test&lt;/p&gt;_x000d__x000d__x000a_"/>
  </r>
  <r>
    <n v="429361"/>
    <n v="20150"/>
    <s v=""/>
    <s v=""/>
    <s v=""/>
    <s v=""/>
    <n v="699632"/>
    <s v="Mary"/>
    <s v="Griffin"/>
    <s v="mgriffin@thinkhr.com"/>
    <x v="1"/>
    <x v="2"/>
    <x v="0"/>
    <d v="2018-07-10T00:00:00"/>
    <s v="&lt;p&gt;Test - checked both response send to client and response sent to me.&lt;/p&gt;_x000d__x000d__x000a_"/>
  </r>
  <r>
    <n v="429363"/>
    <n v="20150"/>
    <s v=""/>
    <s v=""/>
    <s v=""/>
    <s v=""/>
    <n v="699632"/>
    <s v="Mary"/>
    <s v="Griffin"/>
    <s v="mgriffin@thinkhr.com"/>
    <x v="1"/>
    <x v="1"/>
    <x v="1"/>
    <d v="2018-07-10T00:00:00"/>
    <s v="Test - send response to the client only.  NOT to me."/>
  </r>
  <r>
    <n v="440607"/>
    <n v="536770"/>
    <s v="Partner"/>
    <s v="Contact"/>
    <s v="partnercontact@thinkhr.com"/>
    <s v="ThinkHR Sales Demo"/>
    <n v="536770"/>
    <s v="Partner"/>
    <s v="Contact"/>
    <s v="partnercontact@thinkhr.com"/>
    <x v="2"/>
    <x v="2"/>
    <x v="0"/>
    <d v="2018-08-20T00:00:00"/>
    <s v="&lt;p&gt;In Ohio, is it legal to not offer health coverage at all to spouses, just employees and children?&lt;/p&gt;_x000d__x000d__x000a_"/>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r>
    <m/>
    <m/>
    <m/>
    <m/>
    <m/>
    <m/>
    <m/>
    <m/>
    <m/>
    <m/>
    <x v="3"/>
    <x v="4"/>
    <x v="2"/>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813">
  <r>
    <n v="253433"/>
    <x v="0"/>
    <s v="Pacific Bronze"/>
    <s v="9252251100"/>
    <s v="123 Main St."/>
    <s v=""/>
    <s v="Pleasanton"/>
    <s v="California"/>
    <n v="94583"/>
    <s v="Other"/>
    <n v="15"/>
    <s v=""/>
    <x v="0"/>
    <s v=""/>
    <s v=""/>
    <s v=""/>
    <s v=""/>
    <s v=""/>
    <x v="0"/>
    <d v="2018-04-18T00:00:00"/>
    <d v="2018-08-20T22:36:35"/>
  </r>
  <r>
    <n v="253435"/>
    <x v="1"/>
    <s v="Pacific Silver"/>
    <s v="9252251100"/>
    <s v="123 Main St."/>
    <s v=""/>
    <s v="Pleasanton"/>
    <s v="California"/>
    <n v="94586"/>
    <s v="Other"/>
    <n v="75"/>
    <s v=""/>
    <x v="1"/>
    <s v=""/>
    <s v=""/>
    <s v=""/>
    <s v=""/>
    <s v=""/>
    <x v="0"/>
    <d v="2018-04-18T00:00:00"/>
    <d v="2018-08-20T22:36:35"/>
  </r>
  <r>
    <n v="253437"/>
    <x v="2"/>
    <s v="Pacific Gold"/>
    <s v="9252251100"/>
    <s v="123 Main St."/>
    <s v=""/>
    <s v="Pleasanton"/>
    <s v="California"/>
    <n v="94586"/>
    <s v="Other"/>
    <n v="200"/>
    <s v=""/>
    <x v="2"/>
    <s v=""/>
    <s v=""/>
    <s v=""/>
    <s v=""/>
    <s v=""/>
    <x v="0"/>
    <d v="2018-04-18T00:00:00"/>
    <d v="2018-08-20T22:36:36"/>
  </r>
  <r>
    <n v="259783"/>
    <x v="3"/>
    <s v="Pacific Inc"/>
    <s v="800-000-0000"/>
    <s v="1234"/>
    <s v=""/>
    <s v="San Jose"/>
    <s v="California"/>
    <n v="95125"/>
    <s v="Test"/>
    <n v="100"/>
    <s v=""/>
    <x v="3"/>
    <s v=""/>
    <s v=""/>
    <s v=""/>
    <s v=""/>
    <s v=""/>
    <x v="0"/>
    <d v="2018-05-07T00:00:00"/>
    <d v="2018-08-20T21:52:53"/>
  </r>
  <r>
    <n v="266497"/>
    <x v="4"/>
    <s v="Great Balls of Fire"/>
    <s v="800-555-1212"/>
    <s v="25 Old Oak Rd"/>
    <s v=""/>
    <s v="Ferriday"/>
    <s v="Louisiana"/>
    <n v="71334"/>
    <s v="Music"/>
    <n v="50"/>
    <s v=""/>
    <x v="1"/>
    <s v=""/>
    <s v=""/>
    <s v=""/>
    <s v=""/>
    <s v=""/>
    <x v="0"/>
    <d v="2018-05-31T00:00:00"/>
    <m/>
  </r>
  <r>
    <n v="266500"/>
    <x v="5"/>
    <s v="Hound Dog"/>
    <s v="(888) 123-4545"/>
    <s v="5555 Main Street"/>
    <s v=""/>
    <s v="Nashville"/>
    <s v="Tennessee"/>
    <n v="37011"/>
    <s v="Music"/>
    <n v="50"/>
    <s v=""/>
    <x v="3"/>
    <s v=""/>
    <s v=""/>
    <s v=""/>
    <s v=""/>
    <s v=""/>
    <x v="0"/>
    <d v="2018-05-31T00:00:00"/>
    <d v="2018-08-03T18:27:59"/>
  </r>
  <r>
    <n v="266503"/>
    <x v="6"/>
    <s v="Johnnie B Good"/>
    <s v="877-655-5555"/>
    <s v="4545 Rim Rock Road"/>
    <s v=""/>
    <s v="St Louis"/>
    <s v="Missouri"/>
    <n v="63101"/>
    <s v="Music"/>
    <n v="50"/>
    <s v=""/>
    <x v="3"/>
    <s v=""/>
    <s v=""/>
    <s v=""/>
    <s v=""/>
    <s v=""/>
    <x v="0"/>
    <d v="2018-05-31T00:00:00"/>
    <m/>
  </r>
  <r>
    <n v="267080"/>
    <x v="7"/>
    <s v="Pacific Platinum"/>
    <s v="9252251100"/>
    <s v="4637 Chabot Dr."/>
    <s v=""/>
    <s v="Pleasanton"/>
    <s v="California"/>
    <n v="94588"/>
    <s v="Other"/>
    <n v="1100"/>
    <s v=""/>
    <x v="4"/>
    <s v=""/>
    <s v=""/>
    <s v=""/>
    <s v=""/>
    <s v=""/>
    <x v="0"/>
    <d v="2018-06-04T00:00:00"/>
    <d v="2018-08-20T22:36:36"/>
  </r>
  <r>
    <n v="280386"/>
    <x v="8"/>
    <s v="Test Contact 1"/>
    <s v="9252251100"/>
    <s v="4637 Chabot Drive"/>
    <s v=""/>
    <s v="Pleasanton"/>
    <s v="California"/>
    <n v="94588"/>
    <s v="Other"/>
    <n v="1"/>
    <s v=""/>
    <x v="5"/>
    <s v=""/>
    <s v=""/>
    <s v=""/>
    <s v=""/>
    <s v=""/>
    <x v="0"/>
    <d v="2018-07-20T00:00:00"/>
    <d v="2018-08-20T22:36:36"/>
  </r>
  <r>
    <n v="280387"/>
    <x v="9"/>
    <s v="Test Contact 2"/>
    <s v="9252251100"/>
    <s v="4637 Chabot Drive"/>
    <s v=""/>
    <s v="Pleasanton"/>
    <s v="California"/>
    <n v="94588"/>
    <s v="Other"/>
    <n v="2"/>
    <s v=""/>
    <x v="6"/>
    <s v=""/>
    <s v=""/>
    <s v=""/>
    <s v=""/>
    <s v=""/>
    <x v="0"/>
    <d v="2018-07-20T00:00:00"/>
    <d v="2018-08-20T22:36:37"/>
  </r>
  <r>
    <n v="308518"/>
    <x v="10"/>
    <s v="Bronze Light"/>
    <s v="(925) 225-1100"/>
    <s v="123 Main St."/>
    <s v=""/>
    <s v="Pleasanton"/>
    <s v="California"/>
    <n v="94568"/>
    <s v="Other"/>
    <n v="1"/>
    <s v=""/>
    <x v="7"/>
    <s v=""/>
    <s v=""/>
    <s v=""/>
    <s v=""/>
    <s v=""/>
    <x v="0"/>
    <d v="2018-09-07T00:00:00"/>
    <m/>
  </r>
  <r>
    <n v="317407"/>
    <x v="11"/>
    <s v="Blue Suede Shoes"/>
    <s v="(999) 999-9999"/>
    <s v="1234 First Street"/>
    <s v=""/>
    <s v="Houston"/>
    <s v="Texas"/>
    <n v="77340"/>
    <s v="Retail"/>
    <n v="30"/>
    <s v=""/>
    <x v="3"/>
    <s v=""/>
    <s v=""/>
    <s v=""/>
    <s v=""/>
    <s v=""/>
    <x v="0"/>
    <d v="2018-10-02T00:00:00"/>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r>
    <m/>
    <x v="12"/>
    <m/>
    <m/>
    <m/>
    <m/>
    <m/>
    <m/>
    <m/>
    <m/>
    <m/>
    <m/>
    <x v="8"/>
    <m/>
    <m/>
    <m/>
    <m/>
    <m/>
    <x v="1"/>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7D32961-1EFB-439F-AA07-7D858DF05F4F}" name="Company Statistics" cacheId="2" applyNumberFormats="0" applyBorderFormats="0" applyFontFormats="0" applyPatternFormats="0" applyAlignmentFormats="0" applyWidthHeightFormats="1" dataCaption="Values" updatedVersion="6" minRefreshableVersion="3" useAutoFormatting="1" itemPrintTitles="1" mergeItem="1" createdVersion="6" indent="0" outline="1" outlineData="1" multipleFieldFilters="0">
  <location ref="A2:E23" firstHeaderRow="1" firstDataRow="3" firstDataCol="1"/>
  <pivotFields count="21">
    <pivotField dataField="1" showAll="0"/>
    <pivotField axis="axisRow" showAll="0">
      <items count="3662">
        <item x="4"/>
        <item x="5"/>
        <item x="6"/>
        <item x="0"/>
        <item x="2"/>
        <item x="7"/>
        <item x="1"/>
        <item x="3"/>
        <item x="8"/>
        <item x="9"/>
        <item x="12"/>
        <item m="1" x="3532"/>
        <item m="1" x="1580"/>
        <item m="1" x="1459"/>
        <item m="1" x="1204"/>
        <item m="1" x="3573"/>
        <item m="1" x="1796"/>
        <item m="1" x="2055"/>
        <item m="1" x="676"/>
        <item m="1" x="997"/>
        <item m="1" x="485"/>
        <item m="1" x="519"/>
        <item m="1" x="3317"/>
        <item m="1" x="3499"/>
        <item m="1" x="2433"/>
        <item m="1" x="2263"/>
        <item m="1" x="3140"/>
        <item m="1" x="2862"/>
        <item m="1" x="2995"/>
        <item m="1" x="2123"/>
        <item m="1" x="1073"/>
        <item m="1" x="2024"/>
        <item m="1" x="2377"/>
        <item m="1" x="222"/>
        <item m="1" x="1043"/>
        <item m="1" x="877"/>
        <item m="1" x="798"/>
        <item m="1" x="2172"/>
        <item m="1" x="3124"/>
        <item m="1" x="1481"/>
        <item m="1" x="1722"/>
        <item m="1" x="109"/>
        <item m="1" x="716"/>
        <item m="1" x="1491"/>
        <item m="1" x="2687"/>
        <item m="1" x="736"/>
        <item m="1" x="2605"/>
        <item m="1" x="767"/>
        <item m="1" x="324"/>
        <item m="1" x="1193"/>
        <item m="1" x="1124"/>
        <item m="1" x="900"/>
        <item m="1" x="3657"/>
        <item m="1" x="1397"/>
        <item m="1" x="3114"/>
        <item m="1" x="1618"/>
        <item m="1" x="3208"/>
        <item m="1" x="3362"/>
        <item m="1" x="2941"/>
        <item m="1" x="368"/>
        <item m="1" x="2148"/>
        <item m="1" x="187"/>
        <item m="1" x="1080"/>
        <item m="1" x="3077"/>
        <item m="1" x="2057"/>
        <item m="1" x="2320"/>
        <item m="1" x="3360"/>
        <item m="1" x="1376"/>
        <item m="1" x="3444"/>
        <item m="1" x="2328"/>
        <item m="1" x="2577"/>
        <item m="1" x="2696"/>
        <item m="1" x="1540"/>
        <item m="1" x="1659"/>
        <item m="1" x="1383"/>
        <item m="1" x="328"/>
        <item m="1" x="1198"/>
        <item m="1" x="2608"/>
        <item m="1" x="2400"/>
        <item m="1" x="1982"/>
        <item m="1" x="373"/>
        <item m="1" x="2439"/>
        <item m="1" x="2962"/>
        <item m="1" x="1975"/>
        <item m="1" x="1275"/>
        <item m="1" x="2091"/>
        <item m="1" x="2528"/>
        <item m="1" x="272"/>
        <item m="1" x="248"/>
        <item m="1" x="3038"/>
        <item m="1" x="2470"/>
        <item m="1" x="3278"/>
        <item m="1" x="1269"/>
        <item m="1" x="3544"/>
        <item m="1" x="2050"/>
        <item m="1" x="1359"/>
        <item m="1" x="1608"/>
        <item m="1" x="3564"/>
        <item m="1" x="1626"/>
        <item m="1" x="74"/>
        <item m="1" x="998"/>
        <item m="1" x="2543"/>
        <item m="1" x="559"/>
        <item m="1" x="2388"/>
        <item m="1" x="2998"/>
        <item m="1" x="3192"/>
        <item m="1" x="3102"/>
        <item m="1" x="1766"/>
        <item m="1" x="3469"/>
        <item m="1" x="2569"/>
        <item m="1" x="1071"/>
        <item m="1" x="2009"/>
        <item m="1" x="1543"/>
        <item m="1" x="835"/>
        <item m="1" x="1334"/>
        <item m="1" x="3386"/>
        <item m="1" x="2340"/>
        <item m="1" x="3461"/>
        <item m="1" x="1178"/>
        <item m="1" x="1265"/>
        <item m="1" x="1315"/>
        <item m="1" x="460"/>
        <item m="1" x="2830"/>
        <item m="1" x="2654"/>
        <item m="1" x="1703"/>
        <item m="1" x="1833"/>
        <item m="1" x="1266"/>
        <item m="1" x="2167"/>
        <item m="1" x="2466"/>
        <item m="1" x="2951"/>
        <item m="1" x="3319"/>
        <item m="1" x="3546"/>
        <item m="1" x="860"/>
        <item m="1" x="2104"/>
        <item m="1" x="1399"/>
        <item m="1" x="3428"/>
        <item m="1" x="1127"/>
        <item m="1" x="2829"/>
        <item m="1" x="1002"/>
        <item m="1" x="3061"/>
        <item m="1" x="618"/>
        <item m="1" x="3217"/>
        <item m="1" x="2801"/>
        <item m="1" x="546"/>
        <item m="1" x="2660"/>
        <item m="1" x="3407"/>
        <item m="1" x="2839"/>
        <item m="1" x="114"/>
        <item m="1" x="1509"/>
        <item m="1" x="715"/>
        <item m="1" x="264"/>
        <item m="1" x="2455"/>
        <item m="1" x="2743"/>
        <item m="1" x="1064"/>
        <item m="1" x="3490"/>
        <item m="1" x="954"/>
        <item m="1" x="1230"/>
        <item m="1" x="700"/>
        <item m="1" x="2154"/>
        <item m="1" x="905"/>
        <item m="1" x="3410"/>
        <item m="1" x="3438"/>
        <item m="1" x="1836"/>
        <item m="1" x="1662"/>
        <item m="1" x="2928"/>
        <item m="1" x="1988"/>
        <item m="1" x="1426"/>
        <item m="1" x="1329"/>
        <item m="1" x="675"/>
        <item m="1" x="1437"/>
        <item m="1" x="1670"/>
        <item m="1" x="242"/>
        <item m="1" x="1896"/>
        <item m="1" x="3234"/>
        <item m="1" x="1199"/>
        <item m="1" x="828"/>
        <item m="1" x="2120"/>
        <item m="1" x="1885"/>
        <item m="1" x="1227"/>
        <item m="1" x="3121"/>
        <item m="1" x="462"/>
        <item m="1" x="21"/>
        <item m="1" x="1638"/>
        <item m="1" x="2691"/>
        <item m="1" x="266"/>
        <item m="1" x="2367"/>
        <item m="1" x="3595"/>
        <item m="1" x="3446"/>
        <item m="1" x="3361"/>
        <item m="1" x="3548"/>
        <item m="1" x="2856"/>
        <item m="1" x="2289"/>
        <item m="1" x="847"/>
        <item m="1" x="2560"/>
        <item m="1" x="2229"/>
        <item m="1" x="3334"/>
        <item m="1" x="2397"/>
        <item m="1" x="2317"/>
        <item m="1" x="2682"/>
        <item m="1" x="2198"/>
        <item m="1" x="294"/>
        <item m="1" x="2370"/>
        <item m="1" x="474"/>
        <item m="1" x="1238"/>
        <item m="1" x="3125"/>
        <item m="1" x="2703"/>
        <item m="1" x="917"/>
        <item m="1" x="3093"/>
        <item m="1" x="2869"/>
        <item m="1" x="3519"/>
        <item m="1" x="2531"/>
        <item m="1" x="2494"/>
        <item m="1" x="2116"/>
        <item m="1" x="2237"/>
        <item m="1" x="418"/>
        <item m="1" x="260"/>
        <item m="1" x="2981"/>
        <item m="1" x="3654"/>
        <item m="1" x="820"/>
        <item m="1" x="1165"/>
        <item m="1" x="1637"/>
        <item m="1" x="96"/>
        <item m="1" x="3472"/>
        <item m="1" x="382"/>
        <item m="1" x="1705"/>
        <item m="1" x="3078"/>
        <item m="1" x="3512"/>
        <item m="1" x="668"/>
        <item m="1" x="1592"/>
        <item m="1" x="1249"/>
        <item m="1" x="2446"/>
        <item m="1" x="271"/>
        <item m="1" x="1654"/>
        <item m="1" x="2217"/>
        <item m="1" x="3524"/>
        <item m="1" x="1287"/>
        <item m="1" x="516"/>
        <item m="1" x="192"/>
        <item m="1" x="1229"/>
        <item m="1" x="3232"/>
        <item m="1" x="2567"/>
        <item m="1" x="864"/>
        <item m="1" x="3561"/>
        <item m="1" x="283"/>
        <item m="1" x="1419"/>
        <item m="1" x="1814"/>
        <item m="1" x="496"/>
        <item m="1" x="1366"/>
        <item m="1" x="2849"/>
        <item m="1" x="2322"/>
        <item m="1" x="3159"/>
        <item m="1" x="270"/>
        <item m="1" x="757"/>
        <item m="1" x="2993"/>
        <item m="1" x="3026"/>
        <item m="1" x="752"/>
        <item m="1" x="624"/>
        <item m="1" x="1785"/>
        <item m="1" x="87"/>
        <item m="1" x="2073"/>
        <item m="1" x="596"/>
        <item m="1" x="1109"/>
        <item m="1" x="2555"/>
        <item m="1" x="443"/>
        <item m="1" x="200"/>
        <item m="1" x="498"/>
        <item m="1" x="2802"/>
        <item m="1" x="1067"/>
        <item m="1" x="3576"/>
        <item m="1" x="2663"/>
        <item m="1" x="1815"/>
        <item m="1" x="3477"/>
        <item m="1" x="2156"/>
        <item m="1" x="734"/>
        <item m="1" x="3390"/>
        <item m="1" x="968"/>
        <item m="1" x="1721"/>
        <item m="1" x="1636"/>
        <item m="1" x="2674"/>
        <item m="1" x="2402"/>
        <item m="1" x="3142"/>
        <item m="1" x="407"/>
        <item m="1" x="2898"/>
        <item m="1" x="1066"/>
        <item m="1" x="958"/>
        <item m="1" x="3462"/>
        <item m="1" x="3293"/>
        <item m="1" x="2669"/>
        <item m="1" x="1872"/>
        <item m="1" x="2625"/>
        <item m="1" x="657"/>
        <item m="1" x="1931"/>
        <item m="1" x="2445"/>
        <item m="1" x="1994"/>
        <item m="1" x="2200"/>
        <item m="1" x="791"/>
        <item m="1" x="2435"/>
        <item m="1" x="631"/>
        <item m="1" x="2942"/>
        <item m="1" x="3252"/>
        <item m="1" x="819"/>
        <item m="1" x="1617"/>
        <item m="1" x="670"/>
        <item m="1" x="3404"/>
        <item m="1" x="3574"/>
        <item m="1" x="2207"/>
        <item m="1" x="2982"/>
        <item m="1" x="1714"/>
        <item m="1" x="976"/>
        <item m="1" x="2100"/>
        <item m="1" x="557"/>
        <item m="1" x="3622"/>
        <item m="1" x="1458"/>
        <item m="1" x="1674"/>
        <item m="1" x="117"/>
        <item m="1" x="2571"/>
        <item m="1" x="1912"/>
        <item m="1" x="2533"/>
        <item m="1" x="3486"/>
        <item m="1" x="2133"/>
        <item m="1" x="704"/>
        <item m="1" x="3530"/>
        <item m="1" x="480"/>
        <item m="1" x="935"/>
        <item m="1" x="77"/>
        <item m="1" x="3286"/>
        <item m="1" x="157"/>
        <item m="1" x="476"/>
        <item m="1" x="101"/>
        <item m="1" x="2308"/>
        <item m="1" x="2417"/>
        <item m="1" x="3599"/>
        <item m="1" x="1656"/>
        <item m="1" x="1544"/>
        <item m="1" x="1069"/>
        <item m="1" x="1793"/>
        <item m="1" x="923"/>
        <item m="1" x="1236"/>
        <item m="1" x="2751"/>
        <item m="1" x="1921"/>
        <item m="1" x="1156"/>
        <item m="1" x="2115"/>
        <item m="1" x="118"/>
        <item m="1" x="769"/>
        <item m="1" x="2596"/>
        <item m="1" x="388"/>
        <item m="1" x="718"/>
        <item m="1" x="3275"/>
        <item m="1" x="548"/>
        <item m="1" x="1695"/>
        <item m="1" x="1452"/>
        <item m="1" x="90"/>
        <item m="1" x="3194"/>
        <item m="1" x="415"/>
        <item m="1" x="2652"/>
        <item m="1" x="3395"/>
        <item m="1" x="2813"/>
        <item m="1" x="148"/>
        <item m="1" x="601"/>
        <item m="1" x="319"/>
        <item m="1" x="282"/>
        <item m="1" x="1410"/>
        <item m="1" x="269"/>
        <item m="1" x="3190"/>
        <item m="1" x="3027"/>
        <item m="1" x="1519"/>
        <item m="1" x="1210"/>
        <item m="1" x="987"/>
        <item m="1" x="1364"/>
        <item m="1" x="1716"/>
        <item m="1" x="1688"/>
        <item m="1" x="2822"/>
        <item m="1" x="970"/>
        <item m="1" x="1023"/>
        <item m="1" x="3471"/>
        <item m="1" x="2381"/>
        <item m="1" x="504"/>
        <item m="1" x="1305"/>
        <item m="1" x="2857"/>
        <item m="1" x="3414"/>
        <item m="1" x="1035"/>
        <item m="1" x="233"/>
        <item m="1" x="199"/>
        <item m="1" x="1803"/>
        <item m="1" x="311"/>
        <item m="1" x="3578"/>
        <item m="1" x="3295"/>
        <item m="1" x="1310"/>
        <item m="1" x="1441"/>
        <item m="1" x="2550"/>
        <item m="1" x="1063"/>
        <item m="1" x="2330"/>
        <item m="1" x="1498"/>
        <item m="1" x="2121"/>
        <item m="1" x="127"/>
        <item m="1" x="371"/>
        <item m="1" x="3364"/>
        <item m="1" x="1642"/>
        <item m="1" x="950"/>
        <item m="1" x="3557"/>
        <item m="1" x="2324"/>
        <item m="1" x="158"/>
        <item m="1" x="1754"/>
        <item m="1" x="3337"/>
        <item m="1" x="1676"/>
        <item m="1" x="357"/>
        <item m="1" x="2997"/>
        <item m="1" x="1924"/>
        <item m="1" x="267"/>
        <item m="1" x="893"/>
        <item m="1" x="2889"/>
        <item m="1" x="1584"/>
        <item m="1" x="2084"/>
        <item m="1" x="822"/>
        <item m="1" x="1425"/>
        <item m="1" x="2287"/>
        <item m="1" x="1970"/>
        <item m="1" x="1430"/>
        <item m="1" x="812"/>
        <item m="1" x="2776"/>
        <item m="1" x="2249"/>
        <item m="1" x="1727"/>
        <item m="1" x="2913"/>
        <item m="1" x="2774"/>
        <item m="1" x="802"/>
        <item m="1" x="1624"/>
        <item m="1" x="2987"/>
        <item m="1" x="3141"/>
        <item m="1" x="3305"/>
        <item m="1" x="2911"/>
        <item m="1" x="3202"/>
        <item m="1" x="1706"/>
        <item m="1" x="739"/>
        <item m="1" x="1807"/>
        <item m="1" x="2991"/>
        <item m="1" x="463"/>
        <item m="1" x="2386"/>
        <item m="1" x="255"/>
        <item m="1" x="1093"/>
        <item m="1" x="401"/>
        <item m="1" x="151"/>
        <item m="1" x="2820"/>
        <item m="1" x="1057"/>
        <item m="1" x="263"/>
        <item m="1" x="1551"/>
        <item m="1" x="3145"/>
        <item m="1" x="1757"/>
        <item m="1" x="3294"/>
        <item m="1" x="972"/>
        <item m="1" x="2182"/>
        <item m="1" x="2653"/>
        <item m="1" x="183"/>
        <item m="1" x="2183"/>
        <item m="1" x="2007"/>
        <item m="1" x="190"/>
        <item m="1" x="1853"/>
        <item m="1" x="2011"/>
        <item m="1" x="296"/>
        <item m="1" x="921"/>
        <item m="1" x="1233"/>
        <item m="1" x="2155"/>
        <item m="1" x="989"/>
        <item m="1" x="2863"/>
        <item m="1" x="2976"/>
        <item m="1" x="1111"/>
        <item m="1" x="125"/>
        <item m="1" x="2578"/>
        <item m="1" x="817"/>
        <item m="1" x="2438"/>
        <item m="1" x="66"/>
        <item m="1" x="3540"/>
        <item m="1" x="3389"/>
        <item m="1" x="259"/>
        <item m="1" x="2452"/>
        <item m="1" x="1405"/>
        <item m="1" x="874"/>
        <item m="1" x="172"/>
        <item m="1" x="947"/>
        <item m="1" x="2589"/>
        <item m="1" x="2768"/>
        <item m="1" x="3170"/>
        <item m="1" x="2581"/>
        <item m="1" x="1880"/>
        <item m="1" x="3228"/>
        <item m="1" x="1099"/>
        <item m="1" x="217"/>
        <item m="1" x="141"/>
        <item m="1" x="1092"/>
        <item m="1" x="2478"/>
        <item m="1" x="1046"/>
        <item m="1" x="3178"/>
        <item m="1" x="3163"/>
        <item m="1" x="853"/>
        <item m="1" x="3230"/>
        <item m="1" x="747"/>
        <item m="1" x="669"/>
        <item m="1" x="3347"/>
        <item m="1" x="419"/>
        <item m="1" x="486"/>
        <item m="1" x="892"/>
        <item m="1" x="1050"/>
        <item m="1" x="37"/>
        <item m="1" x="2252"/>
        <item m="1" x="2846"/>
        <item m="1" x="730"/>
        <item m="1" x="932"/>
        <item m="1" x="1253"/>
        <item m="1" x="3238"/>
        <item m="1" x="42"/>
        <item m="1" x="2861"/>
        <item m="1" x="672"/>
        <item m="1" x="1220"/>
        <item m="1" x="3161"/>
        <item m="1" x="3422"/>
        <item m="1" x="773"/>
        <item m="1" x="2677"/>
        <item m="1" x="1280"/>
        <item m="1" x="940"/>
        <item m="1" x="3050"/>
        <item m="1" x="1859"/>
        <item m="1" x="2282"/>
        <item m="1" x="3634"/>
        <item m="1" x="3373"/>
        <item m="1" x="1302"/>
        <item m="1" x="2985"/>
        <item m="1" x="2195"/>
        <item m="1" x="126"/>
        <item m="1" x="2692"/>
        <item m="1" x="1059"/>
        <item m="1" x="2885"/>
        <item m="1" x="2700"/>
        <item m="1" x="2738"/>
        <item m="1" x="2734"/>
        <item m="1" x="3398"/>
        <item m="1" x="3086"/>
        <item m="1" x="16"/>
        <item m="1" x="879"/>
        <item m="1" x="2664"/>
        <item m="1" x="2672"/>
        <item m="1" x="649"/>
        <item m="1" x="67"/>
        <item m="1" x="207"/>
        <item m="1" x="2106"/>
        <item m="1" x="3527"/>
        <item m="1" x="2949"/>
        <item m="1" x="1554"/>
        <item m="1" x="3110"/>
        <item m="1" x="1866"/>
        <item m="1" x="2575"/>
        <item m="1" x="2795"/>
        <item m="1" x="2436"/>
        <item m="1" x="2658"/>
        <item m="1" x="2656"/>
        <item m="1" x="131"/>
        <item m="1" x="1219"/>
        <item m="1" x="2903"/>
        <item m="1" x="1176"/>
        <item m="1" x="505"/>
        <item m="1" x="332"/>
        <item m="1" x="379"/>
        <item m="1" x="2665"/>
        <item m="1" x="1572"/>
        <item m="1" x="3138"/>
        <item m="1" x="679"/>
        <item m="1" x="102"/>
        <item m="1" x="2299"/>
        <item m="1" x="3331"/>
        <item m="1" x="766"/>
        <item m="1" x="246"/>
        <item m="1" x="1851"/>
        <item m="1" x="540"/>
        <item m="1" x="1352"/>
        <item m="1" x="852"/>
        <item m="1" x="1704"/>
        <item m="1" x="2171"/>
        <item m="1" x="946"/>
        <item m="1" x="1821"/>
        <item m="1" x="632"/>
        <item m="1" x="3193"/>
        <item m="1" x="1243"/>
        <item m="1" x="1827"/>
        <item m="1" x="582"/>
        <item m="1" x="369"/>
        <item m="1" x="3146"/>
        <item m="1" x="1295"/>
        <item m="1" x="1332"/>
        <item m="1" x="3029"/>
        <item m="1" x="939"/>
        <item m="1" x="1164"/>
        <item m="1" x="1478"/>
        <item m="1" x="2101"/>
        <item m="1" x="2233"/>
        <item m="1" x="3399"/>
        <item m="1" x="1752"/>
        <item m="1" x="531"/>
        <item m="1" x="1887"/>
        <item m="1" x="537"/>
        <item m="1" x="1690"/>
        <item m="1" x="2307"/>
        <item m="1" x="1286"/>
        <item m="1" x="1166"/>
        <item m="1" x="1172"/>
        <item m="1" x="138"/>
        <item m="1" x="2268"/>
        <item m="1" x="3052"/>
        <item m="1" x="2339"/>
        <item m="1" x="337"/>
        <item m="1" x="1098"/>
        <item m="1" x="2246"/>
        <item m="1" x="1755"/>
        <item m="1" x="2143"/>
        <item m="1" x="1313"/>
        <item m="1" x="408"/>
        <item m="1" x="3478"/>
        <item m="1" x="2037"/>
        <item m="1" x="2825"/>
        <item m="1" x="616"/>
        <item m="1" x="3092"/>
        <item m="1" x="2651"/>
        <item m="1" x="1918"/>
        <item m="1" x="3366"/>
        <item m="1" x="581"/>
        <item m="1" x="2564"/>
        <item m="1" x="2685"/>
        <item m="1" x="3040"/>
        <item m="1" x="854"/>
        <item m="1" x="910"/>
        <item m="1" x="3656"/>
        <item m="1" x="1463"/>
        <item m="1" x="2261"/>
        <item m="1" x="2036"/>
        <item m="1" x="2633"/>
        <item m="1" x="2256"/>
        <item m="1" x="285"/>
        <item m="1" x="3470"/>
        <item m="1" x="1090"/>
        <item m="1" x="280"/>
        <item m="1" x="875"/>
        <item m="1" x="2778"/>
        <item m="1" x="2227"/>
        <item m="1" x="3164"/>
        <item m="1" x="2054"/>
        <item m="1" x="1782"/>
        <item m="1" x="1978"/>
        <item m="1" x="904"/>
        <item m="1" x="1545"/>
        <item m="1" x="1272"/>
        <item m="1" x="2266"/>
        <item m="1" x="613"/>
        <item m="1" x="1581"/>
        <item m="1" x="2762"/>
        <item m="1" x="104"/>
        <item m="1" x="2797"/>
        <item m="1" x="1595"/>
        <item m="1" x="3435"/>
        <item m="1" x="206"/>
        <item m="1" x="3482"/>
        <item m="1" x="2902"/>
        <item m="1" x="941"/>
        <item m="1" x="743"/>
        <item m="1" x="3074"/>
        <item m="1" x="870"/>
        <item m="1" x="1822"/>
        <item m="1" x="1499"/>
        <item m="1" x="2705"/>
        <item m="1" x="808"/>
        <item m="1" x="2460"/>
        <item m="1" x="3071"/>
        <item m="1" x="3456"/>
        <item m="1" x="2619"/>
        <item m="1" x="1348"/>
        <item m="1" x="3563"/>
        <item m="1" x="3280"/>
        <item m="1" x="416"/>
        <item m="1" x="936"/>
        <item m="1" x="1186"/>
        <item m="1" x="1250"/>
        <item m="1" x="2972"/>
        <item m="1" x="562"/>
        <item m="1" x="3067"/>
        <item m="1" x="3393"/>
        <item m="1" x="2643"/>
        <item m="1" x="710"/>
        <item m="1" x="2601"/>
        <item m="1" x="1795"/>
        <item m="1" x="1575"/>
        <item m="1" x="1270"/>
        <item m="1" x="145"/>
        <item m="1" x="237"/>
        <item m="1" x="1252"/>
        <item m="1" x="2777"/>
        <item m="1" x="1805"/>
        <item m="1" x="1365"/>
        <item m="1" x="1707"/>
        <item m="1" x="674"/>
        <item m="1" x="543"/>
        <item m="1" x="1311"/>
        <item m="1" x="2365"/>
        <item m="1" x="2459"/>
        <item m="1" x="2430"/>
        <item m="1" x="1816"/>
        <item m="1" x="1078"/>
        <item m="1" x="3625"/>
        <item m="1" x="473"/>
        <item m="1" x="922"/>
        <item m="1" x="2791"/>
        <item m="1" x="2230"/>
        <item m="1" x="2557"/>
        <item m="1" x="3401"/>
        <item m="1" x="499"/>
        <item m="1" x="737"/>
        <item m="1" x="899"/>
        <item m="1" x="2783"/>
        <item m="1" x="1446"/>
        <item m="1" x="2035"/>
        <item m="1" x="1196"/>
        <item m="1" x="3429"/>
        <item m="1" x="2483"/>
        <item m="1" x="1799"/>
        <item m="1" x="2489"/>
        <item m="1" x="667"/>
        <item m="1" x="684"/>
        <item m="1" x="2586"/>
        <item m="1" x="2908"/>
        <item m="1" x="3155"/>
        <item m="1" x="3083"/>
        <item m="1" x="3328"/>
        <item m="1" x="751"/>
        <item m="1" x="2837"/>
        <item m="1" x="3515"/>
        <item m="1" x="2276"/>
        <item m="1" x="1439"/>
        <item m="1" x="3069"/>
        <item m="1" x="1333"/>
        <item m="1" x="397"/>
        <item m="1" x="1477"/>
        <item m="1" x="882"/>
        <item m="1" x="1508"/>
        <item m="1" x="458"/>
        <item m="1" x="3239"/>
        <item m="1" x="1195"/>
        <item m="1" x="221"/>
        <item m="1" x="1445"/>
        <item m="1" x="69"/>
        <item m="1" x="919"/>
        <item m="1" x="3396"/>
        <item m="1" x="3344"/>
        <item m="1" x="2932"/>
        <item m="1" x="2505"/>
        <item m="1" x="3183"/>
        <item m="1" x="2535"/>
        <item m="1" x="1882"/>
        <item m="1" x="609"/>
        <item m="1" x="426"/>
        <item m="1" x="1030"/>
        <item m="1" x="1534"/>
        <item m="1" x="697"/>
        <item m="1" x="1044"/>
        <item m="1" x="885"/>
        <item m="1" x="225"/>
        <item m="1" x="303"/>
        <item m="1" x="999"/>
        <item m="1" x="895"/>
        <item m="1" x="2098"/>
        <item m="1" x="785"/>
        <item m="1" x="440"/>
        <item m="1" x="1134"/>
        <item m="1" x="533"/>
        <item m="1" x="2253"/>
        <item m="1" x="3126"/>
        <item m="1" x="3605"/>
        <item m="1" x="1546"/>
        <item m="1" x="3384"/>
        <item m="1" x="1012"/>
        <item m="1" x="3298"/>
        <item m="1" x="1293"/>
        <item m="1" x="2582"/>
        <item m="1" x="2912"/>
        <item m="1" x="3279"/>
        <item m="1" x="1701"/>
        <item m="1" x="2162"/>
        <item m="1" x="351"/>
        <item m="1" x="2118"/>
        <item m="1" x="3244"/>
        <item m="1" x="55"/>
        <item m="1" x="2753"/>
        <item m="1" x="3034"/>
        <item m="1" x="1118"/>
        <item m="1" x="1380"/>
        <item m="1" x="2188"/>
        <item m="1" x="340"/>
        <item m="1" x="2352"/>
        <item m="1" x="3381"/>
        <item m="1" x="2977"/>
        <item m="1" x="1021"/>
        <item m="1" x="2360"/>
        <item m="1" x="3423"/>
        <item m="1" x="955"/>
        <item m="1" x="1031"/>
        <item m="1" x="492"/>
        <item m="1" x="2145"/>
        <item m="1" x="1993"/>
        <item m="1" x="1585"/>
        <item m="1" x="374"/>
        <item m="1" x="3538"/>
        <item m="1" x="633"/>
        <item m="1" x="1886"/>
        <item m="1" x="1556"/>
        <item m="1" x="1215"/>
        <item m="1" x="1776"/>
        <item m="1" x="1082"/>
        <item m="1" x="1487"/>
        <item m="1" x="2384"/>
        <item m="1" x="3504"/>
        <item m="1" x="1962"/>
        <item m="1" x="1052"/>
        <item m="1" x="3055"/>
        <item m="1" x="692"/>
        <item m="1" x="3363"/>
        <item m="1" x="2900"/>
        <item m="1" x="2717"/>
        <item m="1" x="2840"/>
        <item m="1" x="1959"/>
        <item m="1" x="503"/>
        <item m="1" x="432"/>
        <item m="1" x="793"/>
        <item m="1" x="2020"/>
        <item m="1" x="1232"/>
        <item m="1" x="229"/>
        <item m="1" x="352"/>
        <item m="1" x="1666"/>
        <item m="1" x="1984"/>
        <item m="1" x="2994"/>
        <item m="1" x="3609"/>
        <item m="1" x="2025"/>
        <item m="1" x="1367"/>
        <item m="1" x="2967"/>
        <item m="1" x="2472"/>
        <item m="1" x="3586"/>
        <item m="1" x="3079"/>
        <item m="1" x="2404"/>
        <item m="1" x="824"/>
        <item m="1" x="2606"/>
        <item m="1" x="3205"/>
        <item m="1" x="3131"/>
        <item m="1" x="2771"/>
        <item m="1" x="2583"/>
        <item m="1" x="3240"/>
        <item m="1" x="1418"/>
        <item m="1" x="173"/>
        <item m="1" x="2635"/>
        <item m="1" x="2970"/>
        <item m="1" x="2626"/>
        <item m="1" x="3520"/>
        <item m="1" x="2612"/>
        <item m="1" x="133"/>
        <item m="1" x="920"/>
        <item m="1" x="2956"/>
        <item m="1" x="2636"/>
        <item m="1" x="2078"/>
        <item m="1" x="2965"/>
        <item m="1" x="336"/>
        <item m="1" x="653"/>
        <item m="1" x="2163"/>
        <item m="1" x="3284"/>
        <item m="1" x="897"/>
        <item m="1" x="2447"/>
        <item m="1" x="790"/>
        <item m="1" x="3048"/>
        <item m="1" x="167"/>
        <item m="1" x="3186"/>
        <item m="1" x="3162"/>
        <item m="1" x="550"/>
        <item m="1" x="2638"/>
        <item m="1" x="2441"/>
        <item m="1" x="2821"/>
        <item m="1" x="370"/>
        <item m="1" x="3427"/>
        <item m="1" x="2495"/>
        <item m="1" x="394"/>
        <item m="1" x="2588"/>
        <item m="1" x="2914"/>
        <item m="1" x="680"/>
        <item m="1" x="590"/>
        <item m="1" x="2297"/>
        <item m="1" x="818"/>
        <item m="1" x="2474"/>
        <item m="1" x="1297"/>
        <item m="1" x="1906"/>
        <item m="1" x="2678"/>
        <item m="1" x="3308"/>
        <item m="1" x="1542"/>
        <item m="1" x="938"/>
        <item m="1" x="2040"/>
        <item m="1" x="3274"/>
        <item m="1" x="2017"/>
        <item m="1" x="961"/>
        <item m="1" x="1455"/>
        <item m="1" x="3211"/>
        <item m="1" x="959"/>
        <item m="1" x="3610"/>
        <item m="1" x="703"/>
        <item m="1" x="2467"/>
        <item m="1" x="3531"/>
        <item m="1" x="3215"/>
        <item m="1" x="3330"/>
        <item m="1" x="733"/>
        <item m="1" x="3589"/>
        <item m="1" x="3476"/>
        <item m="1" x="2794"/>
        <item m="1" x="3356"/>
        <item m="1" x="139"/>
        <item m="1" x="2372"/>
        <item m="1" x="1598"/>
        <item m="1" x="3443"/>
        <item m="1" x="2151"/>
        <item m="1" x="1831"/>
        <item m="1" x="3245"/>
        <item m="1" x="405"/>
        <item m="1" x="3045"/>
        <item m="1" x="3255"/>
        <item m="1" x="2525"/>
        <item m="1" x="3497"/>
        <item m="1" x="2347"/>
        <item m="1" x="115"/>
        <item m="1" x="3340"/>
        <item m="1" x="554"/>
        <item m="1" x="3383"/>
        <item m="1" x="3224"/>
        <item m="1" x="1114"/>
        <item m="1" x="1732"/>
        <item m="1" x="690"/>
        <item m="1" x="3633"/>
        <item m="1" x="660"/>
        <item m="1" x="1945"/>
        <item m="1" x="2565"/>
        <item m="1" x="2817"/>
        <item m="1" x="699"/>
        <item m="1" x="1024"/>
        <item m="1" x="2805"/>
        <item m="1" x="1610"/>
        <item m="1" x="2519"/>
        <item m="1" x="594"/>
        <item m="1" x="3023"/>
        <item m="1" x="887"/>
        <item m="1" x="1167"/>
        <item m="1" x="2944"/>
        <item m="1" x="3522"/>
        <item m="1" x="1672"/>
        <item m="1" x="3264"/>
        <item m="1" x="872"/>
        <item m="1" x="36"/>
        <item m="1" x="2224"/>
        <item m="1" x="598"/>
        <item m="1" x="1992"/>
        <item m="1" x="3049"/>
        <item m="1" x="1129"/>
        <item m="1" x="180"/>
        <item m="1" x="2032"/>
        <item m="1" x="82"/>
        <item m="1" x="1870"/>
        <item m="1" x="3195"/>
        <item m="1" x="1353"/>
        <item m="1" x="3636"/>
        <item m="1" x="2356"/>
        <item m="1" x="1484"/>
        <item m="1" x="1582"/>
        <item m="1" x="1371"/>
        <item m="1" x="2130"/>
        <item m="1" x="265"/>
        <item m="1" x="2627"/>
        <item m="1" x="2236"/>
        <item m="1" x="1948"/>
        <item m="1" x="1602"/>
        <item m="1" x="1009"/>
        <item m="1" x="523"/>
        <item m="1" x="186"/>
        <item m="1" x="1390"/>
        <item m="1" x="873"/>
        <item m="1" x="3351"/>
        <item m="1" x="1493"/>
        <item m="1" x="1693"/>
        <item m="1" x="1113"/>
        <item m="1" x="1720"/>
        <item m="1" x="1392"/>
        <item m="1" x="1041"/>
        <item m="1" x="1558"/>
        <item m="1" x="355"/>
        <item m="1" x="3156"/>
        <item m="1" x="661"/>
        <item m="1" x="532"/>
        <item m="1" x="57"/>
        <item m="1" x="1541"/>
        <item m="1" x="1168"/>
        <item m="1" x="330"/>
        <item m="1" x="2508"/>
        <item m="1" x="110"/>
        <item m="1" x="787"/>
        <item m="1" x="625"/>
        <item m="1" x="1192"/>
        <item m="1" x="2001"/>
        <item m="1" x="2013"/>
        <item m="1" x="2041"/>
        <item m="1" x="2695"/>
        <item m="1" x="2124"/>
        <item m="1" x="630"/>
        <item m="1" x="2201"/>
        <item m="1" x="240"/>
        <item m="1" x="3635"/>
        <item m="1" x="2726"/>
        <item m="1" x="3644"/>
        <item m="1" x="1360"/>
        <item m="1" x="257"/>
        <item m="1" x="3618"/>
        <item m="1" x="1338"/>
        <item m="1" x="386"/>
        <item m="1" x="2314"/>
        <item m="1" x="556"/>
        <item m="1" x="442"/>
        <item m="1" x="179"/>
        <item m="1" x="23"/>
        <item m="1" x="2563"/>
        <item m="1" x="320"/>
        <item m="1" x="3088"/>
        <item m="1" x="1449"/>
        <item m="1" x="421"/>
        <item m="1" x="1600"/>
        <item m="1" x="3075"/>
        <item m="1" x="2108"/>
        <item m="1" x="3468"/>
        <item m="1" x="1599"/>
        <item m="1" x="1136"/>
        <item m="1" x="449"/>
        <item m="1" x="539"/>
        <item m="1" x="1138"/>
        <item m="1" x="2362"/>
        <item m="1" x="63"/>
        <item m="1" x="3012"/>
        <item m="1" x="2358"/>
        <item m="1" x="3488"/>
        <item m="1" x="365"/>
        <item m="1" x="1798"/>
        <item m="1" x="1619"/>
        <item m="1" x="39"/>
        <item m="1" x="2937"/>
        <item m="1" x="1977"/>
        <item m="1" x="1323"/>
        <item m="1" x="2921"/>
        <item m="1" x="3103"/>
        <item m="1" x="948"/>
        <item m="1" x="3249"/>
        <item m="1" x="2160"/>
        <item m="1" x="2540"/>
        <item m="1" x="1454"/>
        <item m="1" x="2443"/>
        <item m="1" x="3066"/>
        <item m="1" x="327"/>
        <item m="1" x="925"/>
        <item m="1" x="1735"/>
        <item m="1" x="454"/>
        <item m="1" x="1038"/>
        <item m="1" x="43"/>
        <item m="1" x="196"/>
        <item m="1" x="3533"/>
        <item m="1" x="469"/>
        <item m="1" x="1947"/>
        <item m="1" x="1677"/>
        <item m="1" x="30"/>
        <item m="1" x="1505"/>
        <item m="1" x="2572"/>
        <item m="1" x="156"/>
        <item m="1" x="1687"/>
        <item m="1" x="1998"/>
        <item m="1" x="484"/>
        <item m="1" x="2226"/>
        <item m="1" x="1300"/>
        <item m="1" x="447"/>
        <item m="1" x="2292"/>
        <item m="1" x="1935"/>
        <item m="1" x="1320"/>
        <item m="1" x="3003"/>
        <item m="1" x="1055"/>
        <item m="1" x="2969"/>
        <item m="1" x="1416"/>
        <item m="1" x="2303"/>
        <item m="1" x="184"/>
        <item m="1" x="1979"/>
        <item m="1" x="2740"/>
        <item m="1" x="1205"/>
        <item m="1" x="2570"/>
        <item m="1" x="2316"/>
        <item m="1" x="1191"/>
        <item m="1" x="2323"/>
        <item m="1" x="3153"/>
        <item m="1" x="1946"/>
        <item m="1" x="1923"/>
        <item m="1" x="3453"/>
        <item m="1" x="2409"/>
        <item m="1" x="363"/>
        <item m="1" x="1483"/>
        <item m="1" x="886"/>
        <item m="1" x="1818"/>
        <item m="1" x="1404"/>
        <item m="1" x="3500"/>
        <item m="1" x="1144"/>
        <item m="1" x="2775"/>
        <item m="1" x="1611"/>
        <item m="1" x="2871"/>
        <item m="1" x="799"/>
        <item m="1" x="2622"/>
        <item m="1" x="1393"/>
        <item m="1" x="705"/>
        <item m="1" x="3405"/>
        <item m="1" x="3160"/>
        <item m="1" x="1983"/>
        <item m="1" x="1153"/>
        <item m="1" x="3187"/>
        <item m="1" x="3335"/>
        <item m="1" x="2958"/>
        <item m="1" x="1256"/>
        <item m="1" x="2351"/>
        <item m="1" x="2496"/>
        <item m="1" x="2827"/>
        <item m="1" x="2111"/>
        <item m="1" x="2456"/>
        <item m="1" x="1039"/>
        <item m="1" x="3436"/>
        <item m="1" x="2206"/>
        <item m="1" x="1633"/>
        <item m="1" x="2016"/>
        <item m="1" x="1550"/>
        <item m="1" x="3302"/>
        <item m="1" x="1605"/>
        <item m="1" x="2996"/>
        <item m="1" x="3458"/>
        <item m="1" x="2408"/>
        <item m="1" x="765"/>
        <item m="1" x="3057"/>
        <item m="1" x="2585"/>
        <item m="1" x="129"/>
        <item m="1" x="1769"/>
        <item m="1" x="511"/>
        <item m="1" x="244"/>
        <item m="1" x="3104"/>
        <item m="1" x="563"/>
        <item m="1" x="2058"/>
        <item m="1" x="1433"/>
        <item m="1" x="2513"/>
        <item m="1" x="1797"/>
        <item m="1" x="1174"/>
        <item m="1" x="1736"/>
        <item m="1" x="759"/>
        <item m="1" x="3441"/>
        <item m="1" x="2806"/>
        <item m="1" x="2838"/>
        <item m="1" x="2140"/>
        <item m="1" x="1844"/>
        <item m="1" x="399"/>
        <item m="1" x="859"/>
        <item m="1" x="1974"/>
        <item m="1" x="2860"/>
        <item m="1" x="1741"/>
        <item m="1" x="70"/>
        <item m="1" x="1623"/>
        <item m="1" x="909"/>
        <item m="1" x="891"/>
        <item m="1" x="395"/>
        <item m="1" x="1588"/>
        <item m="1" x="726"/>
        <item m="1" x="2481"/>
        <item m="1" x="3235"/>
        <item m="1" x="3241"/>
        <item m="1" x="863"/>
        <item m="1" x="2594"/>
        <item m="1" x="3431"/>
        <item m="1" x="566"/>
        <item m="1" x="393"/>
        <item m="1" x="2610"/>
        <item m="1" x="953"/>
        <item m="1" x="2548"/>
        <item m="1" x="907"/>
        <item m="1" x="2426"/>
        <item m="1" x="779"/>
        <item m="1" x="1806"/>
        <item m="1" x="2239"/>
        <item m="1" x="182"/>
        <item m="1" x="2482"/>
        <item m="1" x="1908"/>
        <item m="1" x="2371"/>
        <item m="1" x="1316"/>
        <item m="1" x="1964"/>
        <item m="1" x="1444"/>
        <item m="1" x="1312"/>
        <item m="1" x="3201"/>
        <item m="1" x="1884"/>
        <item m="1" x="840"/>
        <item m="1" x="493"/>
        <item m="1" x="2520"/>
        <item m="1" x="2228"/>
        <item m="1" x="3475"/>
        <item m="1" x="986"/>
        <item m="1" x="1492"/>
        <item m="1" x="3216"/>
        <item m="1" x="3072"/>
        <item m="1" x="1823"/>
        <item m="1" x="2756"/>
        <item m="1" x="599"/>
        <item m="1" x="1607"/>
        <item m="1" x="2444"/>
        <item m="1" x="3591"/>
        <item m="1" x="1533"/>
        <item m="1" x="1281"/>
        <item m="1" x="2096"/>
        <item m="1" x="2901"/>
        <item m="1" x="3565"/>
        <item m="1" x="396"/>
        <item m="1" x="500"/>
        <item m="1" x="1485"/>
        <item m="1" x="2518"/>
        <item m="1" x="2309"/>
        <item m="1" x="712"/>
        <item m="1" x="2532"/>
        <item m="1" x="1171"/>
        <item m="1" x="3487"/>
        <item m="1" x="1858"/>
        <item m="1" x="1443"/>
        <item m="1" x="1260"/>
        <item m="1" x="844"/>
        <item m="1" x="1644"/>
        <item m="1" x="1514"/>
        <item m="1" x="3325"/>
        <item m="1" x="3413"/>
        <item m="1" x="2199"/>
        <item m="1" x="471"/>
        <item m="1" x="231"/>
        <item m="1" x="3624"/>
        <item m="1" x="2337"/>
        <item m="1" x="2476"/>
        <item m="1" x="792"/>
        <item m="1" x="2119"/>
        <item m="1" x="1273"/>
        <item m="1" x="3387"/>
        <item m="1" x="1653"/>
        <item m="1" x="2389"/>
        <item m="1" x="342"/>
        <item m="1" x="1965"/>
        <item m="1" x="2916"/>
        <item m="1" x="2168"/>
        <item m="1" x="2010"/>
        <item m="1" x="2302"/>
        <item m="1" x="203"/>
        <item m="1" x="534"/>
        <item m="1" x="2559"/>
        <item m="1" x="2793"/>
        <item m="1" x="26"/>
        <item m="1" x="3627"/>
        <item m="1" x="3518"/>
        <item m="1" x="528"/>
        <item m="1" x="3099"/>
        <item m="1" x="212"/>
        <item m="1" x="971"/>
        <item m="1" x="3166"/>
        <item m="1" x="995"/>
        <item m="1" x="587"/>
        <item m="1" x="2707"/>
        <item m="1" x="1765"/>
        <item m="1" x="1314"/>
        <item m="1" x="2363"/>
        <item m="1" x="85"/>
        <item m="1" x="1115"/>
        <item m="1" x="1089"/>
        <item m="1" x="2442"/>
        <item m="1" x="2679"/>
        <item m="1" x="1571"/>
        <item m="1" x="658"/>
        <item m="1" x="1464"/>
        <item m="1" x="732"/>
        <item m="1" x="1589"/>
        <item m="1" x="3222"/>
        <item m="1" x="2926"/>
        <item m="1" x="339"/>
        <item m="1" x="3303"/>
        <item m="1" x="1854"/>
        <item m="1" x="1154"/>
        <item m="1" x="1368"/>
        <item m="1" x="52"/>
        <item m="1" x="2599"/>
        <item m="1" x="2650"/>
        <item m="1" x="1258"/>
        <item m="1" x="1652"/>
        <item m="1" x="300"/>
        <item m="1" x="742"/>
        <item m="1" x="1077"/>
        <item m="1" x="2737"/>
        <item m="1" x="2537"/>
        <item m="1" x="2219"/>
        <item m="1" x="2410"/>
        <item m="1" x="1729"/>
        <item m="1" x="3292"/>
        <item m="1" x="1775"/>
        <item m="1" x="2755"/>
        <item m="1" x="2245"/>
        <item m="1" x="1841"/>
        <item m="1" x="3570"/>
        <item m="1" x="2269"/>
        <item m="1" x="2735"/>
        <item m="1" x="450"/>
        <item m="1" x="3314"/>
        <item m="1" x="304"/>
        <item m="1" x="1094"/>
        <item m="1" x="3358"/>
        <item m="1" x="2940"/>
        <item m="1" x="2080"/>
        <item m="1" x="2479"/>
        <item m="1" x="2545"/>
        <item m="1" x="2936"/>
        <item m="1" x="3452"/>
        <item m="1" x="3265"/>
        <item m="1" x="89"/>
        <item m="1" x="1567"/>
        <item m="1" x="1574"/>
        <item m="1" x="343"/>
        <item m="1" x="1843"/>
        <item m="1" x="254"/>
        <item m="1" x="153"/>
        <item m="1" x="1185"/>
        <item m="1" x="2052"/>
        <item m="1" x="1330"/>
        <item m="1" x="2412"/>
        <item m="1" x="243"/>
        <item m="1" x="1532"/>
        <item m="1" x="3047"/>
        <item m="1" x="1139"/>
        <item m="1" x="1356"/>
        <item m="1" x="2680"/>
        <item m="1" x="1011"/>
        <item m="1" x="316"/>
        <item m="1" x="3454"/>
        <item m="1" x="2847"/>
        <item m="1" x="597"/>
        <item m="1" x="165"/>
        <item m="1" x="1107"/>
        <item m="1" x="3016"/>
        <item m="1" x="1206"/>
        <item m="1" x="3084"/>
        <item m="1" x="858"/>
        <item m="1" x="916"/>
        <item m="1" x="318"/>
        <item m="1" x="3033"/>
        <item m="1" x="3597"/>
        <item m="1" x="2647"/>
        <item m="1" x="1933"/>
        <item m="1" x="2595"/>
        <item m="1" x="2498"/>
        <item m="1" x="2147"/>
        <item m="1" x="3378"/>
        <item m="1" x="589"/>
        <item m="1" x="3036"/>
        <item m="1" x="256"/>
        <item m="1" x="241"/>
        <item m="1" x="2891"/>
        <item m="1" x="628"/>
        <item m="1" x="1746"/>
        <item m="1" x="659"/>
        <item m="1" x="2082"/>
        <item m="1" x="2757"/>
        <item m="1" x="1808"/>
        <item m="1" x="3613"/>
        <item m="1" x="2067"/>
        <item m="1" x="1934"/>
        <item m="1" x="3199"/>
        <item m="1" x="391"/>
        <item m="1" x="3332"/>
        <item m="1" x="2984"/>
        <item m="1" x="1852"/>
        <item m="1" x="27"/>
        <item m="1" x="829"/>
        <item m="1" x="549"/>
        <item m="1" x="3509"/>
        <item m="1" x="146"/>
        <item m="1" x="3492"/>
        <item m="1" x="1976"/>
        <item m="1" x="2318"/>
        <item m="1" x="1058"/>
        <item m="1" x="2005"/>
        <item m="1" x="275"/>
        <item m="1" x="92"/>
        <item m="1" x="227"/>
        <item m="1" x="3612"/>
        <item m="1" x="2779"/>
        <item m="1" x="210"/>
        <item m="1" x="72"/>
        <item m="1" x="428"/>
        <item m="1" x="3272"/>
        <item m="1" x="1826"/>
        <item m="1" x="2429"/>
        <item m="1" x="1715"/>
        <item m="1" x="224"/>
        <item m="1" x="1389"/>
        <item m="1" x="1003"/>
        <item m="1" x="2524"/>
        <item m="1" x="1578"/>
        <item m="1" x="2739"/>
        <item m="1" x="1158"/>
        <item m="1" x="2896"/>
        <item m="1" x="3626"/>
        <item m="1" x="214"/>
        <item m="1" x="1159"/>
        <item m="1" x="2278"/>
        <item m="1" x="176"/>
        <item m="1" x="2223"/>
        <item m="1" x="1025"/>
        <item m="1" x="2346"/>
        <item m="1" x="713"/>
        <item m="1" x="2844"/>
        <item m="1" x="1530"/>
        <item m="1" x="1473"/>
        <item m="1" x="569"/>
        <item m="1" x="3640"/>
        <item m="1" x="3539"/>
        <item m="1" x="2369"/>
        <item m="1" x="2534"/>
        <item m="1" x="3584"/>
        <item m="1" x="2060"/>
        <item m="1" x="2859"/>
        <item m="1" x="2144"/>
        <item m="1" x="2808"/>
        <item m="1" x="2711"/>
        <item m="1" x="3276"/>
        <item m="1" x="880"/>
        <item m="1" x="1346"/>
        <item m="1" x="849"/>
        <item m="1" x="3171"/>
        <item m="1" x="3312"/>
        <item m="1" x="2380"/>
        <item m="1" x="979"/>
        <item m="1" x="1141"/>
        <item m="1" x="3242"/>
        <item m="1" x="1837"/>
        <item m="1" x="276"/>
        <item m="1" x="2769"/>
        <item m="1" x="193"/>
        <item m="1" x="64"/>
        <item m="1" x="219"/>
        <item m="1" x="2238"/>
        <item m="1" x="108"/>
        <item m="1" x="1969"/>
        <item m="1" x="2440"/>
        <item m="1" x="3176"/>
        <item m="1" x="3150"/>
        <item m="1" x="996"/>
        <item m="1" x="967"/>
        <item m="1" x="1037"/>
        <item m="1" x="2364"/>
        <item m="1" x="2374"/>
        <item m="1" x="711"/>
        <item m="1" x="754"/>
        <item m="1" x="762"/>
        <item m="1" x="3091"/>
        <item m="1" x="2841"/>
        <item m="1" x="3042"/>
        <item m="1" x="3463"/>
        <item m="1" x="1157"/>
        <item m="1" x="724"/>
        <item m="1" x="2943"/>
        <item m="1" x="2607"/>
        <item m="1" x="1749"/>
        <item m="1" x="3568"/>
        <item m="1" x="702"/>
        <item m="1" x="1747"/>
        <item m="1" x="2174"/>
        <item m="1" x="881"/>
        <item m="1" x="2722"/>
        <item m="1" x="2344"/>
        <item m="1" x="1420"/>
        <item m="1" x="1587"/>
        <item m="1" x="2718"/>
        <item m="1" x="1601"/>
        <item m="1" x="3168"/>
        <item m="1" x="1893"/>
        <item m="1" x="2918"/>
        <item m="1" x="768"/>
        <item m="1" x="2527"/>
        <item m="1" x="1817"/>
        <item m="1" x="2150"/>
        <item m="1" x="3380"/>
        <item m="1" x="1040"/>
        <item m="1" x="2047"/>
        <item m="1" x="297"/>
        <item m="1" x="1517"/>
        <item m="1" x="124"/>
        <item m="1" x="3011"/>
        <item m="1" x="422"/>
        <item m="1" x="561"/>
        <item m="1" x="3096"/>
        <item m="1" x="2831"/>
        <item m="1" x="1234"/>
        <item m="1" x="1820"/>
        <item m="1" x="1247"/>
        <item m="1" x="2732"/>
        <item m="1" x="1910"/>
        <item m="1" x="3248"/>
        <item m="1" x="1922"/>
        <item m="1" x="1010"/>
        <item m="1" x="268"/>
        <item m="1" x="1794"/>
        <item m="1" x="1604"/>
        <item m="1" x="2504"/>
        <item m="1" x="3474"/>
        <item m="1" x="788"/>
        <item m="1" x="2375"/>
        <item m="1" x="1032"/>
        <item m="1" x="2341"/>
        <item m="1" x="1001"/>
        <item m="1" x="2378"/>
        <item m="1" x="2243"/>
        <item m="1" x="889"/>
        <item m="1" x="2485"/>
        <item m="1" x="1527"/>
        <item m="1" x="974"/>
        <item m="1" x="2766"/>
        <item m="1" x="1742"/>
        <item m="1" x="2807"/>
        <item m="1" x="2767"/>
        <item m="1" x="1942"/>
        <item m="1" x="1553"/>
        <item m="1" x="3014"/>
        <item m="1" x="3113"/>
        <item m="1" x="3440"/>
        <item m="1" x="731"/>
        <item m="1" x="2134"/>
        <item m="1" x="3433"/>
        <item m="1" x="3243"/>
        <item m="1" x="1489"/>
        <item m="1" x="1726"/>
        <item m="1" x="839"/>
        <item m="1" x="1170"/>
        <item m="1" x="61"/>
        <item m="1" x="2064"/>
        <item m="1" x="1406"/>
        <item m="1" x="2878"/>
        <item m="1" x="3483"/>
        <item m="1" x="1379"/>
        <item m="1" x="865"/>
        <item m="1" x="301"/>
        <item m="1" x="344"/>
        <item m="1" x="3376"/>
        <item m="1" x="2764"/>
        <item m="1" x="2666"/>
        <item m="1" x="13"/>
        <item m="1" x="3648"/>
        <item m="1" x="2487"/>
        <item m="1" x="1777"/>
        <item m="1" x="2730"/>
        <item m="1" x="364"/>
        <item m="1" x="1239"/>
        <item m="1" x="1469"/>
        <item m="1" x="3489"/>
        <item m="1" x="1625"/>
        <item m="1" x="230"/>
        <item m="1" x="526"/>
        <item m="1" x="2250"/>
        <item m="1" x="58"/>
        <item m="1" x="446"/>
        <item m="1" x="2503"/>
        <item m="1" x="175"/>
        <item m="1" x="284"/>
        <item m="1" x="3370"/>
        <item m="1" x="46"/>
        <item m="1" x="1881"/>
        <item m="1" x="1468"/>
        <item m="1" x="586"/>
        <item m="1" x="1395"/>
        <item m="1" x="1516"/>
        <item m="1" x="1737"/>
        <item m="1" x="857"/>
        <item m="1" x="2881"/>
        <item m="1" x="3207"/>
        <item m="1" x="3309"/>
        <item m="1" x="1673"/>
        <item m="1" x="1322"/>
        <item m="1" x="850"/>
        <item m="1" x="701"/>
        <item m="1" x="308"/>
        <item m="1" x="1789"/>
        <item m="1" x="3460"/>
        <item m="1" x="2176"/>
        <item m="1" x="2546"/>
        <item m="1" x="2894"/>
        <item m="1" x="1840"/>
        <item m="1" x="356"/>
        <item m="1" x="3374"/>
        <item m="1" x="2029"/>
        <item m="1" x="3212"/>
        <item m="1" x="1770"/>
        <item m="1" x="869"/>
        <item m="1" x="2803"/>
        <item m="1" x="3379"/>
        <item m="1" x="79"/>
        <item m="1" x="1570"/>
        <item m="1" x="2890"/>
        <item m="1" x="3402"/>
        <item m="1" x="3349"/>
        <item m="1" x="513"/>
        <item m="1" x="1122"/>
        <item m="1" x="491"/>
        <item m="1" x="666"/>
        <item m="1" x="3229"/>
        <item m="1" x="648"/>
        <item m="1" x="2798"/>
        <item m="1" x="577"/>
        <item m="1" x="3013"/>
        <item m="1" x="3181"/>
        <item m="1" x="651"/>
        <item m="1" x="868"/>
        <item m="1" x="3247"/>
        <item m="1" x="88"/>
        <item m="1" x="890"/>
        <item m="1" x="2615"/>
        <item m="1" x="2644"/>
        <item m="1" x="3442"/>
        <item m="1" x="3659"/>
        <item m="1" x="3111"/>
        <item m="1" x="1188"/>
        <item m="1" x="3068"/>
        <item m="1" x="73"/>
        <item m="1" x="2966"/>
        <item m="1" x="299"/>
        <item m="1" x="423"/>
        <item m="1" x="1873"/>
        <item m="1" x="3580"/>
        <item m="1" x="1569"/>
        <item m="1" x="1017"/>
        <item m="1" x="837"/>
        <item m="1" x="2864"/>
        <item m="1" x="568"/>
        <item m="1" x="3466"/>
        <item m="1" x="1304"/>
        <item m="1" x="1944"/>
        <item m="1" x="2698"/>
        <item m="1" x="1966"/>
        <item m="1" x="2709"/>
        <item m="1" x="1467"/>
        <item m="1" x="216"/>
        <item m="1" x="2934"/>
        <item m="1" x="2286"/>
        <item m="1" x="3326"/>
        <item m="1" x="3496"/>
        <item m="1" x="2192"/>
        <item m="1" x="1559"/>
        <item m="1" x="1291"/>
        <item m="1" x="3271"/>
        <item m="1" x="1340"/>
        <item m="1" x="208"/>
        <item m="1" x="1451"/>
        <item m="1" x="2039"/>
        <item m="1" x="2906"/>
        <item m="1" x="15"/>
        <item m="1" x="1839"/>
        <item m="1" x="2376"/>
        <item m="1" x="3655"/>
        <item m="1" x="2512"/>
        <item m="1" x="3021"/>
        <item m="1" x="1396"/>
        <item m="1" x="1440"/>
        <item m="1" x="3426"/>
        <item m="1" x="2131"/>
        <item m="1" x="2336"/>
        <item m="1" x="201"/>
        <item m="1" x="3080"/>
        <item m="1" x="1421"/>
        <item m="1" x="3495"/>
        <item m="1" x="483"/>
        <item m="1" x="520"/>
        <item m="1" x="302"/>
        <item m="1" x="1062"/>
        <item m="1" x="3223"/>
        <item m="1" x="2117"/>
        <item m="1" x="1331"/>
        <item m="1" x="746"/>
        <item m="1" x="2952"/>
        <item m="1" x="1878"/>
        <item m="1" x="2448"/>
        <item m="1" x="2398"/>
        <item m="1" x="2087"/>
        <item m="1" x="3603"/>
        <item m="1" x="2272"/>
        <item m="1" x="3203"/>
        <item m="1" x="3594"/>
        <item m="1" x="1901"/>
        <item m="1" x="3117"/>
        <item m="1" x="3136"/>
        <item m="1" x="1382"/>
        <item m="1" x="209"/>
        <item m="1" x="1980"/>
        <item m="1" x="3070"/>
        <item m="1" x="413"/>
        <item m="1" x="38"/>
        <item m="1" x="2842"/>
        <item m="1" x="2357"/>
        <item m="1" x="1784"/>
        <item m="1" x="2931"/>
        <item m="1" x="841"/>
        <item m="1" x="640"/>
        <item m="1" x="3009"/>
        <item m="1" x="2645"/>
        <item m="1" x="2866"/>
        <item m="1" x="1341"/>
        <item m="1" x="1609"/>
        <item m="1" x="604"/>
        <item m="1" x="981"/>
        <item m="1" x="466"/>
        <item m="1" x="1361"/>
        <item m="1" x="677"/>
        <item m="1" x="251"/>
        <item m="1" x="1738"/>
        <item m="1" x="2530"/>
        <item m="1" x="1928"/>
        <item m="1" x="1649"/>
        <item m="1" x="2213"/>
        <item m="1" x="2554"/>
        <item m="1" x="1373"/>
        <item m="1" x="291"/>
        <item m="1" x="903"/>
        <item m="1" x="1029"/>
        <item m="1" x="261"/>
        <item m="1" x="1088"/>
        <item m="1" x="273"/>
        <item m="1" x="1903"/>
        <item m="1" x="963"/>
        <item m="1" x="1328"/>
        <item m="1" x="232"/>
        <item m="1" x="1525"/>
        <item m="1" x="3169"/>
        <item m="1" x="3076"/>
        <item m="1" x="3115"/>
        <item m="1" x="1412"/>
        <item m="1" x="2800"/>
        <item m="1" x="1960"/>
        <item m="1" x="2437"/>
        <item m="1" x="602"/>
        <item m="1" x="1561"/>
        <item m="1" x="293"/>
        <item m="1" x="646"/>
        <item m="1" x="2468"/>
        <item m="1" x="2882"/>
        <item m="1" x="3536"/>
        <item m="1" x="2790"/>
        <item m="1" x="1008"/>
        <item m="1" x="2079"/>
        <item m="1" x="1018"/>
        <item m="1" x="1222"/>
        <item m="1" x="3513"/>
        <item m="1" x="1566"/>
        <item m="1" x="911"/>
        <item m="1" x="1518"/>
        <item m="1" x="3299"/>
        <item m="1" x="2395"/>
        <item m="1" x="1756"/>
        <item m="1" x="188"/>
        <item m="1" x="2471"/>
        <item m="1" x="1573"/>
        <item m="1" x="2920"/>
        <item m="1" x="2613"/>
        <item m="1" x="317"/>
        <item m="1" x="3122"/>
        <item m="1" x="1537"/>
        <item m="1" x="1345"/>
        <item m="1" x="2590"/>
        <item m="1" x="551"/>
        <item m="1" x="143"/>
        <item m="1" x="2810"/>
        <item m="1" x="3304"/>
        <item m="1" x="111"/>
        <item m="1" x="786"/>
        <item m="1" x="2003"/>
        <item m="1" x="2516"/>
        <item m="1" x="2781"/>
        <item m="1" x="506"/>
        <item m="1" x="3506"/>
        <item m="1" x="162"/>
        <item m="1" x="3172"/>
        <item m="1" x="1147"/>
        <item m="1" x="2649"/>
        <item m="1" x="2630"/>
        <item m="1" x="1862"/>
        <item m="1" x="238"/>
        <item m="1" x="166"/>
        <item m="1" x="3601"/>
        <item m="1" x="412"/>
        <item m="1" x="1246"/>
        <item m="1" x="2602"/>
        <item m="1" x="1372"/>
        <item m="1" x="3412"/>
        <item m="1" x="2325"/>
        <item m="1" x="2828"/>
        <item m="1" x="2114"/>
        <item m="1" x="3391"/>
        <item m="1" x="775"/>
        <item m="1" x="722"/>
        <item m="1" x="1065"/>
        <item m="1" x="289"/>
        <item m="1" x="2157"/>
        <item m="1" x="2538"/>
        <item m="1" x="100"/>
        <item m="1" x="122"/>
        <item m="1" x="2113"/>
        <item m="1" x="1123"/>
        <item m="1" x="908"/>
        <item m="1" x="3608"/>
        <item m="1" x="949"/>
        <item m="1" x="689"/>
        <item m="1" x="1224"/>
        <item m="1" x="170"/>
        <item m="1" x="1424"/>
        <item m="1" x="2209"/>
        <item m="1" x="576"/>
        <item m="1" x="3367"/>
        <item m="1" x="3598"/>
        <item m="1" x="3382"/>
        <item m="1" x="2884"/>
        <item m="1" x="644"/>
        <item m="1" x="1242"/>
        <item m="1" x="725"/>
        <item m="1" x="1713"/>
        <item m="1" x="3089"/>
        <item m="1" x="1257"/>
        <item m="1" x="1856"/>
        <item m="1" x="457"/>
        <item m="1" x="3510"/>
        <item m="1" x="2449"/>
        <item m="1" x="957"/>
        <item m="1" x="2551"/>
        <item m="1" x="439"/>
        <item m="1" x="1482"/>
        <item m="1" x="3418"/>
        <item m="1" x="2960"/>
        <item m="1" x="622"/>
        <item m="1" x="3185"/>
        <item m="1" x="826"/>
        <item m="1" x="2772"/>
        <item m="1" x="3552"/>
        <item m="1" x="2142"/>
        <item m="1" x="3323"/>
        <item m="1" x="2112"/>
        <item m="1" x="1699"/>
        <item m="1" x="3139"/>
        <item m="1" x="744"/>
        <item m="1" x="3556"/>
        <item m="1" x="2465"/>
        <item m="1" x="1212"/>
        <item m="1" x="2728"/>
        <item m="1" x="358"/>
        <item m="1" x="2886"/>
        <item m="1" x="1495"/>
        <item m="1" x="290"/>
        <item m="1" x="2883"/>
        <item m="1" x="2259"/>
        <item m="1" x="2848"/>
        <item m="1" x="2187"/>
        <item m="1" x="832"/>
        <item m="1" x="2957"/>
        <item m="1" x="2792"/>
        <item m="1" x="475"/>
        <item m="1" x="696"/>
        <item m="1" x="2990"/>
        <item m="1" x="198"/>
        <item m="1" x="2892"/>
        <item m="1" x="1686"/>
        <item m="1" x="2855"/>
        <item m="1" x="35"/>
        <item m="1" x="2879"/>
        <item m="1" x="390"/>
        <item m="1" x="75"/>
        <item m="1" x="708"/>
        <item m="1" x="2623"/>
        <item m="1" x="487"/>
        <item m="1" x="525"/>
        <item m="1" x="3566"/>
        <item m="1" x="3377"/>
        <item m="1" x="3333"/>
        <item m="1" x="2955"/>
        <item m="1" x="2826"/>
        <item m="1" x="2576"/>
        <item m="1" x="1847"/>
        <item m="1" x="753"/>
        <item m="1" x="3107"/>
        <item m="1" x="960"/>
        <item m="1" x="2536"/>
        <item m="1" x="1228"/>
        <item m="1" x="1629"/>
        <item m="1" x="2668"/>
        <item m="1" x="2418"/>
        <item m="1" x="3046"/>
        <item m="1" x="1696"/>
        <item m="1" x="164"/>
        <item m="1" x="2773"/>
        <item m="1" x="1350"/>
        <item m="1" x="1179"/>
        <item m="1" x="1860"/>
        <item m="1" x="2125"/>
        <item m="1" x="2043"/>
        <item m="1" x="2947"/>
        <item m="1" x="2210"/>
        <item m="1" x="927"/>
        <item m="1" x="2411"/>
        <item m="1" x="2662"/>
        <item m="1" x="3108"/>
        <item m="1" x="91"/>
        <item m="1" x="437"/>
        <item m="1" x="76"/>
        <item m="1" x="574"/>
        <item m="1" x="1920"/>
        <item m="1" x="48"/>
        <item m="1" x="871"/>
        <item m="1" x="19"/>
        <item m="1" x="3154"/>
        <item m="1" x="2382"/>
        <item m="1" x="2396"/>
        <item m="1" x="3254"/>
        <item m="1" x="24"/>
        <item m="1" x="17"/>
        <item m="1" x="3000"/>
        <item m="1" x="47"/>
        <item m="1" x="1335"/>
        <item m="1" x="119"/>
        <item m="1" x="106"/>
        <item m="1" x="1375"/>
        <item m="1" x="1221"/>
        <item m="1" x="2177"/>
        <item m="1" x="1548"/>
        <item m="1" x="3642"/>
        <item m="1" x="1357"/>
        <item m="1" x="517"/>
        <item m="1" x="771"/>
        <item m="1" x="843"/>
        <item m="1" x="228"/>
        <item m="1" x="2661"/>
        <item m="1" x="846"/>
        <item m="1" x="2254"/>
        <item m="1" x="494"/>
        <item m="1" x="1282"/>
        <item m="1" x="1702"/>
        <item m="1" x="2579"/>
        <item m="1" x="112"/>
        <item m="1" x="2919"/>
        <item m="1" x="2974"/>
        <item m="1" x="2523"/>
        <item m="1" x="918"/>
        <item m="1" x="823"/>
        <item m="1" x="429"/>
        <item m="1" x="723"/>
        <item m="1" x="3267"/>
        <item m="1" x="2491"/>
        <item m="1" x="2690"/>
        <item m="1" x="348"/>
        <item m="1" x="1461"/>
        <item m="1" x="1708"/>
        <item m="1" x="1409"/>
        <item m="1" x="1774"/>
        <item m="1" x="1276"/>
        <item m="1" x="620"/>
        <item m="1" x="654"/>
        <item m="1" x="3285"/>
        <item m="1" x="3008"/>
        <item m="1" x="906"/>
        <item m="1" x="855"/>
        <item m="1" x="1919"/>
        <item m="1" x="2469"/>
        <item m="1" x="2748"/>
        <item m="1" x="323"/>
        <item m="1" x="2214"/>
        <item m="1" x="1953"/>
        <item m="1" x="1802"/>
        <item m="1" x="1326"/>
        <item m="1" x="1022"/>
        <item m="1" x="2045"/>
        <item m="1" x="3296"/>
        <item m="1" x="1319"/>
        <item m="1" x="1476"/>
        <item m="1" x="1079"/>
        <item m="1" x="2584"/>
        <item m="1" x="2169"/>
        <item m="1" x="3408"/>
        <item m="1" x="3409"/>
        <item m="1" x="3191"/>
        <item m="1" x="1883"/>
        <item m="1" x="1438"/>
        <item m="1" x="983"/>
        <item m="1" x="2832"/>
        <item m="1" x="2634"/>
        <item m="1" x="1832"/>
        <item m="1" x="1462"/>
        <item m="1" x="333"/>
        <item m="1" x="510"/>
        <item m="1" x="623"/>
        <item m="1" x="1709"/>
        <item m="1" x="2146"/>
        <item m="1" x="1936"/>
        <item m="1" x="1632"/>
        <item m="1" x="2819"/>
        <item m="1" x="3073"/>
        <item m="1" x="1855"/>
        <item m="1" x="2345"/>
        <item m="1" x="2904"/>
        <item m="1" x="1121"/>
        <item m="1" x="1661"/>
        <item m="1" x="830"/>
        <item m="1" x="1460"/>
        <item m="1" x="2110"/>
        <item m="1" x="1086"/>
        <item m="1" x="727"/>
        <item m="1" x="1888"/>
        <item m="1" x="1899"/>
        <item m="1" x="1303"/>
        <item m="1" x="2361"/>
        <item m="1" x="2212"/>
        <item m="1" x="621"/>
        <item m="1" x="99"/>
        <item m="1" x="2343"/>
        <item m="1" x="2273"/>
        <item m="1" x="755"/>
        <item m="1" x="3220"/>
        <item m="1" x="3646"/>
        <item m="1" x="2761"/>
        <item m="1" x="1189"/>
        <item m="1" x="2785"/>
        <item m="1" x="2280"/>
        <item m="1" x="2765"/>
        <item m="1" x="2432"/>
        <item m="1" x="2671"/>
        <item m="1" x="1299"/>
        <item m="1" x="750"/>
        <item m="1" x="2197"/>
        <item m="1" x="378"/>
        <item m="1" x="1411"/>
        <item m="1" x="1951"/>
        <item m="1" x="1949"/>
        <item m="1" x="3550"/>
        <item m="1" x="1480"/>
        <item m="1" x="3020"/>
        <item m="1" x="1148"/>
        <item m="1" x="3233"/>
        <item m="1" x="2063"/>
        <item m="1" x="1938"/>
        <item m="1" x="341"/>
        <item m="1" x="2945"/>
        <item m="1" x="3637"/>
        <item m="1" x="2989"/>
        <item m="1" x="2580"/>
        <item m="1" x="2085"/>
        <item m="1" x="3106"/>
        <item m="1" x="1351"/>
        <item m="1" x="2544"/>
        <item m="1" x="3158"/>
        <item m="1" x="3450"/>
        <item m="1" x="2925"/>
        <item m="1" x="2784"/>
        <item m="1" x="1848"/>
        <item m="1" x="3109"/>
        <item m="1" x="615"/>
        <item m="1" x="2566"/>
        <item m="1" x="834"/>
        <item m="1" x="1051"/>
        <item m="1" x="1306"/>
        <item m="1" x="1521"/>
        <item m="1" x="1961"/>
        <item m="1" x="1061"/>
        <item m="1" x="3094"/>
        <item m="1" x="160"/>
        <item m="1" x="3582"/>
        <item m="1" x="1471"/>
        <item m="1" x="780"/>
        <item m="1" x="2811"/>
        <item m="1" x="664"/>
        <item m="1" x="1786"/>
        <item m="1" x="2506"/>
        <item m="1" x="306"/>
        <item m="1" x="1890"/>
        <item m="1" x="2490"/>
        <item m="1" x="362"/>
        <item m="1" x="688"/>
        <item m="1" x="3259"/>
        <item m="1" x="2876"/>
        <item m="1" x="977"/>
        <item m="1" x="1591"/>
        <item m="1" x="627"/>
        <item m="1" x="3385"/>
        <item m="1" x="2251"/>
        <item m="1" x="592"/>
        <item m="1" x="2086"/>
        <item m="1" x="3467"/>
        <item m="1" x="60"/>
        <item m="1" x="942"/>
        <item m="1" x="2745"/>
        <item m="1" x="2247"/>
        <item m="1" x="3484"/>
        <item m="1" x="1160"/>
        <item m="1" x="2129"/>
        <item m="1" x="2420"/>
        <item m="1" x="585"/>
        <item m="1" x="204"/>
        <item m="1" x="1402"/>
        <item m="1" x="693"/>
        <item m="1" x="1668"/>
        <item m="1" x="1954"/>
        <item m="1" x="3227"/>
        <item m="1" x="776"/>
        <item m="1" x="1294"/>
        <item m="1" x="2835"/>
        <item m="1" x="978"/>
        <item m="1" x="709"/>
        <item m="1" x="45"/>
        <item m="1" x="2556"/>
        <item m="1" x="964"/>
        <item m="1" x="3372"/>
        <item m="1" x="353"/>
        <item m="1" x="2812"/>
        <item m="1" x="315"/>
        <item m="1" x="62"/>
        <item m="1" x="915"/>
        <item m="1" x="2422"/>
        <item m="1" x="1712"/>
        <item m="1" x="521"/>
        <item m="1" x="691"/>
        <item m="1" x="1255"/>
        <item m="1" x="2464"/>
        <item m="1" x="2061"/>
        <item m="1" x="433"/>
        <item m="1" x="80"/>
        <item m="1" x="720"/>
        <item m="1" x="3041"/>
        <item m="1" x="2741"/>
        <item m="1" x="1267"/>
        <item m="1" x="1407"/>
        <item m="1" x="811"/>
        <item m="1" x="3290"/>
        <item m="1" x="2715"/>
        <item m="1" x="427"/>
        <item m="1" x="2326"/>
        <item m="1" x="2234"/>
        <item m="1" x="1930"/>
        <item m="1" x="1190"/>
        <item m="1" x="3035"/>
        <item m="1" x="3184"/>
        <item m="1" x="1711"/>
        <item m="1" x="3173"/>
        <item m="1" x="359"/>
        <item m="1" x="2704"/>
        <item m="1" x="3097"/>
        <item m="1" x="1510"/>
        <item m="1" x="1621"/>
        <item m="1" x="3236"/>
        <item m="1" x="1787"/>
        <item m="1" x="1401"/>
        <item m="1" x="591"/>
        <item m="1" x="3063"/>
        <item m="1" x="2873"/>
        <item m="1" x="3525"/>
        <item m="1" x="29"/>
        <item m="1" x="2968"/>
        <item m="1" x="2888"/>
        <item m="1" x="3339"/>
        <item m="1" x="2988"/>
        <item m="1" x="380"/>
        <item m="1" x="1254"/>
        <item m="1" x="1593"/>
        <item m="1" x="312"/>
        <item m="1" x="3306"/>
        <item m="1" x="159"/>
        <item m="1" x="2180"/>
        <item m="1" x="898"/>
        <item m="1" x="490"/>
        <item m="1" x="2629"/>
        <item m="1" x="1940"/>
        <item m="1" x="1830"/>
        <item m="1" x="825"/>
        <item m="1" x="1126"/>
        <item m="1" x="2355"/>
        <item m="1" x="1408"/>
        <item m="1" x="2895"/>
        <item m="1" x="735"/>
        <item m="1" x="2359"/>
        <item m="1" x="3329"/>
        <item m="1" x="3359"/>
        <item m="1" x="2342"/>
        <item m="1" x="3445"/>
        <item m="1" x="2208"/>
        <item m="1" x="234"/>
        <item m="1" x="1891"/>
        <item m="1" x="816"/>
        <item m="1" x="1214"/>
        <item m="1" x="1717"/>
        <item m="1" x="807"/>
        <item m="1" x="218"/>
        <item m="1" x="2072"/>
        <item m="1" x="2022"/>
        <item m="1" x="1879"/>
        <item m="1" x="3310"/>
        <item m="1" x="512"/>
        <item m="1" x="1675"/>
        <item m="1" x="2833"/>
        <item m="1" x="2216"/>
        <item m="1" x="2015"/>
        <item m="1" x="1466"/>
        <item m="1" x="1070"/>
        <item m="1" x="2392"/>
        <item m="1" x="3256"/>
        <item m="1" x="1394"/>
        <item m="1" x="34"/>
        <item m="1" x="410"/>
        <item m="1" x="2720"/>
        <item m="1" x="465"/>
        <item m="1" x="329"/>
        <item m="1" x="1875"/>
        <item m="1" x="1428"/>
        <item m="1" x="1986"/>
        <item m="1" x="1606"/>
        <item m="1" x="650"/>
        <item m="1" x="1657"/>
        <item m="1" x="2062"/>
        <item m="1" x="1413"/>
        <item m="1" x="564"/>
        <item m="1" x="2279"/>
        <item m="1" x="2804"/>
        <item m="1" x="2056"/>
        <item m="1" x="3297"/>
        <item m="1" x="1182"/>
        <item m="1" x="3439"/>
        <item m="1" x="1764"/>
        <item m="1" x="2152"/>
        <item m="1" x="1876"/>
        <item m="1" x="3424"/>
        <item m="1" x="1678"/>
        <item m="1" x="2044"/>
        <item m="1" x="1028"/>
        <item m="1" x="2222"/>
        <item m="1" x="3585"/>
        <item m="1" x="2648"/>
        <item m="1" x="2075"/>
        <item m="1" x="665"/>
        <item m="1" x="3596"/>
        <item m="1" x="3649"/>
        <item m="1" x="687"/>
        <item m="1" x="2175"/>
        <item m="1" x="2686"/>
        <item m="1" x="3368"/>
        <item m="1" x="2721"/>
        <item m="1" x="2475"/>
        <item m="1" x="2194"/>
        <item m="1" x="3473"/>
        <item m="1" x="1014"/>
        <item m="1" x="1261"/>
        <item m="1" x="1097"/>
        <item m="1" x="1045"/>
        <item m="1" x="2953"/>
        <item m="1" x="1263"/>
        <item m="1" x="2461"/>
        <item m="1" x="2451"/>
        <item m="1" x="1739"/>
        <item m="1" x="952"/>
        <item m="1" x="3416"/>
        <item m="1" x="3311"/>
        <item m="1" x="652"/>
        <item m="1" x="795"/>
        <item m="1" x="3282"/>
        <item m="1" x="1897"/>
        <item m="1" x="1865"/>
        <item m="1" x="2458"/>
        <item m="1" x="2141"/>
        <item m="1" x="3010"/>
        <item m="1" x="1555"/>
        <item m="1" x="452"/>
        <item m="1" x="3629"/>
        <item m="1" x="3327"/>
        <item m="1" x="2413"/>
        <item m="1" x="806"/>
        <item m="1" x="2681"/>
        <item m="1" x="3632"/>
        <item m="1" x="1108"/>
        <item m="1" x="3638"/>
        <item m="1" x="1504"/>
        <item m="1" x="3529"/>
        <item m="1" x="292"/>
        <item m="1" x="1868"/>
        <item m="1" x="97"/>
        <item m="1" x="479"/>
        <item m="1" x="1560"/>
        <item m="1" x="2770"/>
        <item m="1" x="1377"/>
        <item m="1" x="3237"/>
        <item m="1" x="2868"/>
        <item m="1" x="2714"/>
        <item m="1" x="2164"/>
        <item m="1" x="185"/>
        <item m="1" x="1552"/>
        <item m="1" x="2181"/>
        <item m="1" x="338"/>
        <item m="1" x="1354"/>
        <item m="1" x="876"/>
        <item m="1" x="3225"/>
        <item m="1" x="2552"/>
        <item m="1" x="2673"/>
        <item m="1" x="2754"/>
        <item m="1" x="2241"/>
        <item m="1" x="1577"/>
        <item m="1" x="2747"/>
        <item m="1" x="3491"/>
        <item m="1" x="1091"/>
        <item m="1" x="1680"/>
        <item m="1" x="154"/>
        <item m="1" x="1241"/>
        <item m="1" x="2264"/>
        <item m="1" x="436"/>
        <item m="1" x="2427"/>
        <item m="1" x="612"/>
        <item m="1" x="2034"/>
        <item m="1" x="49"/>
        <item m="1" x="2642"/>
        <item m="1" x="1053"/>
        <item m="1" x="1248"/>
        <item m="1" x="1894"/>
        <item m="1" x="831"/>
        <item m="1" x="3128"/>
        <item m="1" x="1036"/>
        <item m="1" x="2699"/>
        <item m="1" x="3421"/>
        <item m="1" x="1339"/>
        <item m="1" x="3017"/>
        <item m="1" x="2291"/>
        <item m="1" x="2315"/>
        <item m="1" x="1861"/>
        <item m="1" x="313"/>
        <item m="1" x="1828"/>
        <item m="1" x="593"/>
        <item m="1" x="1117"/>
        <item m="1" x="3430"/>
        <item m="1" x="1768"/>
        <item m="1" x="2401"/>
        <item m="1" x="33"/>
        <item m="1" x="575"/>
        <item m="1" x="3341"/>
        <item m="1" x="1217"/>
        <item m="1" x="1417"/>
        <item m="1" x="2497"/>
        <item m="1" x="3502"/>
        <item m="1" x="2759"/>
        <item m="1" x="350"/>
        <item m="1" x="2170"/>
        <item m="1" x="1110"/>
        <item m="1" x="509"/>
        <item m="1" x="815"/>
        <item m="1" x="2306"/>
        <item m="1" x="1007"/>
        <item m="1" x="3200"/>
        <item m="1" x="3607"/>
        <item m="1" x="2204"/>
        <item m="1" x="1691"/>
        <item m="1" x="3434"/>
        <item m="1" x="1128"/>
        <item m="1" x="3602"/>
        <item m="1" x="1496"/>
        <item m="1" x="1344"/>
        <item m="1" x="2014"/>
        <item m="1" x="1370"/>
        <item m="1" x="14"/>
        <item m="1" x="2434"/>
        <item m="1" x="2689"/>
        <item m="1" x="3095"/>
        <item m="1" x="2305"/>
        <item m="1" x="3188"/>
        <item m="1" x="2933"/>
        <item m="1" x="805"/>
        <item m="1" x="717"/>
        <item m="1" x="274"/>
        <item m="1" x="1216"/>
        <item m="1" x="1278"/>
        <item m="1" x="3583"/>
        <item m="1" x="2026"/>
        <item m="1" x="636"/>
        <item m="1" x="1271"/>
        <item m="1" x="1095"/>
        <item m="1" x="984"/>
        <item m="1" x="191"/>
        <item m="1" x="1645"/>
        <item m="1" x="1288"/>
        <item m="1" x="1697"/>
        <item m="1" x="1911"/>
        <item m="1" x="1513"/>
        <item m="1" x="2335"/>
        <item m="1" x="2950"/>
        <item m="1" x="3082"/>
        <item m="1" x="2274"/>
        <item m="1" x="1685"/>
        <item m="1" x="774"/>
        <item m="1" x="1989"/>
        <item m="1" x="1388"/>
        <item m="1" x="1725"/>
        <item m="1" x="1125"/>
        <item m="1" x="1274"/>
        <item m="1" x="3277"/>
        <item m="1" x="2105"/>
        <item m="1" x="194"/>
        <item m="1" x="181"/>
        <item m="1" x="2414"/>
        <item m="1" x="1143"/>
        <item m="1" x="2609"/>
        <item m="1" x="2077"/>
        <item m="1" x="2853"/>
        <item m="1" x="3541"/>
        <item m="1" x="481"/>
        <item m="1" x="1119"/>
        <item m="1" x="914"/>
        <item m="1" x="1615"/>
        <item m="1" x="1622"/>
        <item m="1" x="3269"/>
        <item m="1" x="1596"/>
        <item m="1" x="1435"/>
        <item m="1" x="430"/>
        <item m="1" x="982"/>
        <item m="1" x="2048"/>
        <item m="1" x="1772"/>
        <item m="1" x="3590"/>
        <item m="1" x="535"/>
        <item m="1" x="3098"/>
        <item m="1" x="392"/>
        <item m="1" x="527"/>
        <item m="1" x="3137"/>
        <item m="1" x="78"/>
        <item m="1" x="3631"/>
        <item m="1" x="1655"/>
        <item m="1" x="3572"/>
        <item m="1" x="1180"/>
        <item m="1" x="645"/>
        <item m="1" x="1324"/>
        <item m="1" x="3371"/>
        <item m="1" x="1745"/>
        <item m="1" x="3639"/>
        <item m="1" x="95"/>
        <item m="1" x="2301"/>
        <item m="1" x="3281"/>
        <item m="1" x="845"/>
        <item m="1" x="926"/>
        <item m="1" x="3403"/>
        <item m="1" x="1231"/>
        <item m="1" x="1427"/>
        <item m="1" x="2203"/>
        <item m="1" x="3291"/>
        <item m="1" x="901"/>
        <item m="1" x="1838"/>
        <item m="1" x="2930"/>
        <item m="1" x="3024"/>
        <item m="1" x="3261"/>
        <item m="1" x="804"/>
        <item m="1" x="2159"/>
        <item m="1" x="2053"/>
        <item m="1" x="403"/>
        <item m="1" x="2979"/>
        <item m="1" x="211"/>
        <item m="1" x="482"/>
        <item m="1" x="3258"/>
        <item m="1" x="2522"/>
        <item m="1" x="2515"/>
        <item m="1" x="1950"/>
        <item m="1" x="639"/>
        <item m="1" x="2893"/>
        <item m="1" x="756"/>
        <item m="1" x="149"/>
        <item m="1" x="445"/>
        <item m="1" x="3480"/>
        <item m="1" x="2899"/>
        <item m="1" x="1289"/>
        <item m="1" x="1925"/>
        <item m="1" x="3132"/>
        <item m="1" x="1849"/>
        <item m="1" x="1072"/>
        <item m="1" x="2529"/>
        <item m="1" x="2310"/>
        <item m="1" x="68"/>
        <item m="1" x="136"/>
        <item m="1" x="1939"/>
        <item m="1" x="1262"/>
        <item m="1" x="477"/>
        <item m="1" x="2394"/>
        <item m="1" x="888"/>
        <item m="1" x="2973"/>
        <item m="1" x="1981"/>
        <item m="1" x="1963"/>
        <item m="1" x="2179"/>
        <item m="1" x="810"/>
        <item m="1" x="2385"/>
        <item m="1" x="1597"/>
        <item m="1" x="3614"/>
        <item m="1" x="305"/>
        <item m="1" x="638"/>
        <item m="1" x="177"/>
        <item m="1" x="3316"/>
        <item m="1" x="3611"/>
        <item m="1" x="3287"/>
        <item m="1" x="1825"/>
        <item m="1" x="1200"/>
        <item m="1" x="614"/>
        <item m="1" x="252"/>
        <item m="1" x="3353"/>
        <item m="1" x="617"/>
        <item m="1" x="3044"/>
        <item m="1" x="2749"/>
        <item m="1" x="334"/>
        <item m="1" x="448"/>
        <item m="1" x="236"/>
        <item m="1" x="1958"/>
        <item m="1" x="2083"/>
        <item m="1" x="461"/>
        <item m="1" x="438"/>
        <item m="1" x="579"/>
        <item m="1" x="2425"/>
        <item m="1" x="3315"/>
        <item m="1" x="155"/>
        <item m="1" x="345"/>
        <item m="1" x="2173"/>
        <item m="1" x="3419"/>
        <item m="1" x="307"/>
        <item m="1" x="884"/>
        <item m="1" x="2477"/>
        <item m="1" x="1576"/>
        <item m="1" x="1106"/>
        <item m="1" x="681"/>
        <item m="1" x="71"/>
        <item m="1" x="1202"/>
        <item m="1" x="862"/>
        <item m="1" x="584"/>
        <item m="1" x="3025"/>
        <item m="1" x="3197"/>
        <item m="1" x="1630"/>
        <item m="1" x="1054"/>
        <item m="1" x="842"/>
        <item m="1" x="647"/>
        <item m="1" x="782"/>
        <item m="1" x="1914"/>
        <item m="1" x="3221"/>
        <item m="1" x="801"/>
        <item m="1" x="2631"/>
        <item m="1" x="3417"/>
        <item m="1" x="3479"/>
        <item m="1" x="2750"/>
        <item m="1" x="3149"/>
        <item m="1" x="867"/>
        <item m="1" x="286"/>
        <item m="1" x="2431"/>
        <item m="1" x="694"/>
        <item m="1" x="1529"/>
        <item m="1" x="3545"/>
        <item m="1" x="3549"/>
        <item m="1" x="3321"/>
        <item m="1" x="1538"/>
        <item m="1" x="2283"/>
        <item m="1" x="2980"/>
        <item m="1" x="902"/>
        <item m="1" x="966"/>
        <item m="1" x="629"/>
        <item m="1" x="1780"/>
        <item m="1" x="2127"/>
        <item m="1" x="2760"/>
        <item m="1" x="1568"/>
        <item m="1" x="3266"/>
        <item m="1" x="402"/>
        <item m="1" x="2517"/>
        <item m="1" x="1201"/>
        <item m="1" x="1583"/>
        <item m="1" x="2329"/>
        <item m="1" x="86"/>
        <item m="1" x="2854"/>
        <item m="1" x="1643"/>
        <item m="1" x="1943"/>
        <item m="1" x="20"/>
        <item m="1" x="3151"/>
        <item m="1" x="2092"/>
        <item m="1" x="1684"/>
        <item m="1" x="1724"/>
        <item m="1" x="2786"/>
        <item m="1" x="642"/>
        <item m="1" x="2275"/>
        <item m="1" x="1486"/>
        <item m="1" x="3437"/>
        <item m="1" x="1647"/>
        <item m="1" x="3143"/>
        <item m="1" x="1682"/>
        <item m="1" x="3100"/>
        <item m="1" x="1812"/>
        <item m="1" x="161"/>
        <item m="1" x="2390"/>
        <item m="1" x="3543"/>
        <item m="1" x="3157"/>
        <item m="1" x="1900"/>
        <item m="1" x="3043"/>
        <item m="1" x="945"/>
        <item m="1" x="1985"/>
        <item m="1" x="634"/>
        <item m="1" x="2277"/>
        <item m="1" x="3653"/>
        <item m="1" x="178"/>
        <item m="1" x="2158"/>
        <item m="1" x="1506"/>
        <item m="1" x="2541"/>
        <item m="1" x="2008"/>
        <item m="1" x="171"/>
        <item m="1" x="347"/>
        <item m="1" x="1049"/>
        <item m="1" x="1743"/>
        <item m="1" x="1957"/>
        <item m="1" x="3307"/>
        <item m="1" x="3031"/>
        <item m="1" x="567"/>
        <item m="1" x="1207"/>
        <item m="1" x="3018"/>
        <item m="1" x="1895"/>
        <item m="1" x="1349"/>
        <item m="1" x="2701"/>
        <item m="1" x="547"/>
        <item m="1" x="239"/>
        <item m="1" x="1811"/>
        <item m="1" x="1240"/>
        <item m="1" x="195"/>
        <item m="1" x="2780"/>
        <item m="1" x="2293"/>
        <item m="1" x="507"/>
        <item m="1" x="2510"/>
        <item m="1" x="1791"/>
        <item m="1" x="931"/>
        <item m="1" x="1235"/>
        <item m="1" x="1183"/>
        <item m="1" x="132"/>
        <item m="1" x="3449"/>
        <item m="1" x="1987"/>
        <item m="1" x="578"/>
        <item m="1" x="1846"/>
        <item m="1" x="993"/>
        <item m="1" x="1203"/>
        <item m="1" x="2549"/>
        <item m="1" x="2004"/>
        <item m="1" x="2271"/>
        <item m="1" x="1398"/>
        <item m="1" x="2354"/>
        <item m="1" x="1929"/>
        <item m="1" x="3465"/>
        <item m="1" x="1369"/>
        <item m="1" x="763"/>
        <item m="1" x="2562"/>
        <item m="1" x="2076"/>
        <item m="1" x="655"/>
        <item m="1" x="1102"/>
        <item m="1" x="2624"/>
        <item m="1" x="3604"/>
        <item m="1" x="2713"/>
        <item m="1" x="2258"/>
        <item m="1" x="740"/>
        <item m="1" x="2191"/>
        <item m="1" x="1494"/>
        <item m="1" x="772"/>
        <item m="1" x="3005"/>
        <item m="1" x="1700"/>
        <item m="1" x="1019"/>
        <item m="1" x="2851"/>
        <item m="1" x="838"/>
        <item m="1" x="2290"/>
        <item m="1" x="3147"/>
        <item m="1" x="990"/>
        <item m="1" x="3616"/>
        <item m="1" x="3345"/>
        <item m="1" x="883"/>
        <item m="1" x="1681"/>
        <item m="1" x="2646"/>
        <item m="1" x="1112"/>
        <item m="1" x="2244"/>
        <item m="1" x="3343"/>
        <item m="1" x="3218"/>
        <item m="1" x="2628"/>
        <item m="1" x="3313"/>
        <item m="1" x="1937"/>
        <item m="1" x="1603"/>
        <item m="1" x="1076"/>
        <item m="1" x="220"/>
        <item m="1" x="205"/>
        <item m="1" x="3177"/>
        <item m="1" x="2657"/>
        <item m="1" x="150"/>
        <item m="1" x="1448"/>
        <item m="1" x="235"/>
        <item m="1" x="3553"/>
        <item m="1" x="3262"/>
        <item m="1" x="1137"/>
        <item m="1" x="2719"/>
        <item m="1" x="1279"/>
        <item m="1" x="2978"/>
        <item m="1" x="552"/>
        <item m="1" x="2350"/>
        <item m="1" x="2484"/>
        <item m="1" x="2122"/>
        <item m="1" x="2493"/>
        <item m="1" x="409"/>
        <item m="1" x="1497"/>
        <item m="1" x="1251"/>
        <item m="1" x="3118"/>
        <item m="1" x="384"/>
        <item m="1" x="2723"/>
        <item m="1" x="3054"/>
        <item m="1" x="1692"/>
        <item m="1" x="3268"/>
        <item m="1" x="1967"/>
        <item m="1" x="2655"/>
        <item m="1" x="514"/>
        <item m="1" x="2333"/>
        <item m="1" x="1358"/>
        <item m="1" x="3175"/>
        <item m="1" x="1042"/>
        <item m="1" x="2387"/>
        <item m="1" x="2319"/>
        <item m="1" x="2095"/>
        <item m="1" x="2185"/>
        <item m="1" x="2870"/>
        <item m="1" x="1511"/>
        <item m="1" x="2424"/>
        <item m="1" x="3606"/>
        <item m="1" x="2348"/>
        <item m="1" x="1337"/>
        <item m="1" x="560"/>
        <item m="1" x="1627"/>
        <item m="1" x="3198"/>
        <item m="1" x="2220"/>
        <item m="1" x="1845"/>
        <item m="1" x="1209"/>
        <item m="1" x="3394"/>
        <item m="1" x="2542"/>
        <item m="1" x="1074"/>
        <item m="1" x="536"/>
        <item m="1" x="3056"/>
        <item m="1" x="3030"/>
        <item m="1" x="1972"/>
        <item m="1" x="3559"/>
        <item m="1" x="1414"/>
        <item m="1" x="1084"/>
        <item m="1" x="1955"/>
        <item m="1" x="1374"/>
        <item m="1" x="571"/>
        <item m="1" x="686"/>
        <item m="1" x="738"/>
        <item m="1" x="2511"/>
        <item m="1" x="3514"/>
        <item m="1" x="570"/>
        <item m="1" x="2421"/>
        <item m="1" x="142"/>
        <item m="1" x="1475"/>
        <item m="1" x="2138"/>
        <item m="1" x="1085"/>
        <item m="1" x="2758"/>
        <item m="1" x="1026"/>
        <item m="1" x="2814"/>
        <item m="1" x="314"/>
        <item m="1" x="137"/>
        <item m="1" x="1932"/>
        <item m="1" x="2165"/>
        <item m="1" x="924"/>
        <item m="1" x="2178"/>
        <item m="1" x="1503"/>
        <item m="1" x="1308"/>
        <item m="1" x="2897"/>
        <item m="1" x="249"/>
        <item m="1" x="2514"/>
        <item m="1" x="467"/>
        <item m="1" x="1068"/>
        <item m="1" x="607"/>
        <item m="1" x="3485"/>
        <item m="1" x="2030"/>
        <item m="1" x="1501"/>
        <item m="1" x="366"/>
        <item m="1" x="1763"/>
        <item m="1" x="3526"/>
        <item m="1" x="1728"/>
        <item m="1" x="489"/>
        <item m="1" x="836"/>
        <item m="1" x="1819"/>
        <item m="1" x="1472"/>
        <item m="1" x="1889"/>
        <item m="1" x="3459"/>
        <item m="1" x="3528"/>
        <item m="1" x="1175"/>
        <item m="1" x="3180"/>
        <item m="1" x="189"/>
        <item m="1" x="2132"/>
        <item m="1" x="3350"/>
        <item m="1" x="2321"/>
        <item m="1" x="980"/>
        <item m="1" x="1612"/>
        <item m="1" x="3289"/>
        <item m="1" x="1665"/>
        <item m="1" x="781"/>
        <item m="1" x="3554"/>
        <item m="1" x="3251"/>
        <item m="1" x="714"/>
        <item m="1" x="22"/>
        <item m="1" x="1904"/>
        <item m="1" x="3058"/>
        <item m="1" x="3209"/>
        <item m="1" x="441"/>
        <item m="1" x="3593"/>
        <item m="1" x="522"/>
        <item m="1" x="929"/>
        <item m="1" x="3123"/>
        <item m="1" x="2338"/>
        <item m="1" x="144"/>
        <item m="1" x="2149"/>
        <item m="1" x="2712"/>
        <item m="1" x="2018"/>
        <item m="1" x="3397"/>
        <item m="1" x="1142"/>
        <item m="1" x="2021"/>
        <item m="1" x="495"/>
        <item m="1" x="529"/>
        <item m="1" x="456"/>
        <item m="1" x="778"/>
        <item m="1" x="3508"/>
        <item m="1" x="2693"/>
        <item m="1" x="277"/>
        <item m="1" x="2288"/>
        <item m="1" x="555"/>
        <item m="1" x="2284"/>
        <item m="1" x="1792"/>
        <item m="1" x="103"/>
        <item m="1" x="3116"/>
        <item m="1" x="1863"/>
        <item m="1" x="2927"/>
        <item m="1" x="113"/>
        <item m="1" x="1512"/>
        <item m="1" x="51"/>
        <item m="1" x="2917"/>
        <item m="1" x="1033"/>
        <item m="1" x="1710"/>
        <item m="1" x="377"/>
        <item m="1" x="1999"/>
        <item m="1" x="1047"/>
        <item m="1" x="3135"/>
        <item m="1" x="3144"/>
        <item m="1" x="608"/>
        <item m="1" x="1788"/>
        <item m="1" x="1355"/>
        <item m="1" x="2051"/>
        <item m="1" x="2923"/>
        <item m="1" x="1177"/>
        <item m="1" x="682"/>
        <item m="1" x="794"/>
        <item m="1" x="2068"/>
        <item m="1" x="524"/>
        <item m="1" x="2787"/>
        <item m="1" x="2603"/>
        <item m="1" x="1151"/>
        <item m="1" x="2186"/>
        <item m="1" x="83"/>
        <item m="1" x="2327"/>
        <item m="1" x="434"/>
        <item m="1" x="321"/>
        <item m="1" x="678"/>
        <item m="1" x="944"/>
        <item m="1" x="1318"/>
        <item m="1" x="1834"/>
        <item m="1" x="1614"/>
        <item m="1" x="2587"/>
        <item m="1" x="1515"/>
        <item m="1" x="813"/>
        <item m="1" x="455"/>
        <item m="1" x="2907"/>
        <item m="1" x="387"/>
        <item m="1" x="2042"/>
        <item m="1" x="2313"/>
        <item m="1" x="1290"/>
        <item m="1" x="2028"/>
        <item m="1" x="2948"/>
        <item m="1" x="411"/>
        <item m="1" x="2097"/>
        <item m="1" x="2744"/>
        <item m="1" x="1298"/>
        <item m="1" x="381"/>
        <item m="1" x="2006"/>
        <item m="1" x="2486"/>
        <item m="1" x="1013"/>
        <item m="1" x="3002"/>
        <item m="1" x="2938"/>
        <item m="1" x="360"/>
        <item m="1" x="1628"/>
        <item m="1" x="2019"/>
        <item m="1" x="3448"/>
        <item m="1" x="2788"/>
        <item m="1" x="361"/>
        <item m="1" x="3535"/>
        <item m="1" x="2492"/>
        <item m="1" x="3346"/>
        <item m="1" x="930"/>
        <item m="1" x="2621"/>
        <item m="1" x="1616"/>
        <item m="1" x="3481"/>
        <item m="1" x="3571"/>
        <item m="1" x="851"/>
        <item m="1" x="3516"/>
        <item m="1" x="1307"/>
        <item m="1" x="1917"/>
        <item m="1" x="3015"/>
        <item m="1" x="1237"/>
        <item m="1" x="1104"/>
        <item m="1" x="376"/>
        <item m="1" x="278"/>
        <item m="1" x="1907"/>
        <item m="1" x="354"/>
        <item m="1" x="2694"/>
        <item m="1" x="1973"/>
        <item m="1" x="1663"/>
        <item m="1" x="2260"/>
        <item m="1" x="761"/>
        <item m="1" x="3581"/>
        <item m="1" x="1536"/>
        <item m="1" x="1520"/>
        <item m="1" x="1547"/>
        <item m="1" x="2027"/>
        <item m="1" x="588"/>
        <item m="1" x="325"/>
        <item m="1" x="105"/>
        <item m="1" x="1083"/>
        <item m="1" x="2752"/>
        <item m="1" x="367"/>
        <item m="1" x="2614"/>
        <item m="1" x="2046"/>
        <item m="1" x="262"/>
        <item m="1" x="2126"/>
        <item m="1" x="2161"/>
        <item m="1" x="2742"/>
        <item m="1" x="2789"/>
        <item m="1" x="2676"/>
        <item m="1" x="2617"/>
        <item m="1" x="1941"/>
        <item m="1" x="464"/>
        <item m="1" x="3547"/>
        <item m="1" x="2716"/>
        <item m="1" x="1723"/>
        <item m="1" x="1524"/>
        <item m="1" x="2296"/>
        <item m="1" x="2553"/>
        <item m="1" x="2959"/>
        <item m="1" x="3592"/>
        <item m="1" x="2416"/>
        <item m="1" x="1245"/>
        <item m="1" x="3022"/>
        <item m="1" x="2193"/>
        <item m="1" x="2353"/>
        <item m="1" x="1762"/>
        <item m="1" x="1132"/>
        <item m="1" x="435"/>
        <item m="1" x="288"/>
        <item m="1" x="1660"/>
        <item m="1" x="2196"/>
        <item m="1" x="3551"/>
        <item m="1" x="2710"/>
        <item m="1" x="1301"/>
        <item m="1" x="1457"/>
        <item m="1" x="326"/>
        <item m="1" x="1415"/>
        <item m="1" x="729"/>
        <item m="1" x="1101"/>
        <item m="1" x="1557"/>
        <item m="1" x="1161"/>
        <item m="1" x="2799"/>
        <item m="1" x="1342"/>
        <item m="1" x="309"/>
        <item m="1" x="1522"/>
        <item m="1" x="1898"/>
        <item m="1" x="2215"/>
        <item m="1" x="3320"/>
        <item m="1" x="3392"/>
        <item m="1" x="417"/>
        <item m="1" x="994"/>
        <item m="1" x="1586"/>
        <item m="1" x="962"/>
        <item m="1" x="741"/>
        <item m="1" x="3365"/>
        <item m="1" x="583"/>
        <item m="1" x="1667"/>
        <item m="1" x="749"/>
        <item m="1" x="956"/>
        <item m="1" x="3569"/>
        <item m="1" x="1456"/>
        <item m="1" x="3065"/>
        <item m="1" x="3375"/>
        <item m="1" x="2240"/>
        <item m="1" x="1800"/>
        <item m="1" x="1641"/>
        <item m="1" x="1635"/>
        <item m="1" x="1646"/>
        <item m="1" x="3355"/>
        <item m="1" x="1750"/>
        <item m="1" x="2507"/>
        <item m="1" x="2796"/>
        <item m="1" x="1867"/>
        <item m="1" x="56"/>
        <item m="1" x="28"/>
        <item m="1" x="610"/>
        <item m="1" x="2935"/>
        <item m="1" x="3447"/>
        <item m="1" x="985"/>
        <item m="1" x="1952"/>
        <item m="1" x="2419"/>
        <item m="1" x="404"/>
        <item m="1" x="3053"/>
        <item m="1" x="470"/>
        <item m="1" x="1877"/>
        <item m="1" x="803"/>
        <item m="1" x="1096"/>
        <item m="1" x="279"/>
        <item m="1" x="468"/>
        <item m="1" x="3219"/>
        <item m="1" x="2102"/>
        <item m="1" x="2450"/>
        <item m="1" x="3112"/>
        <item m="1" x="1748"/>
        <item m="1" x="1218"/>
        <item m="1" x="1385"/>
        <item m="1" x="1698"/>
        <item m="1" x="1751"/>
        <item m="1" x="2262"/>
        <item m="1" x="2373"/>
        <item m="1" x="671"/>
        <item m="1" x="223"/>
        <item m="1" x="2403"/>
        <item m="1" x="2875"/>
        <item m="1" x="796"/>
        <item m="1" x="346"/>
        <item m="1" x="2379"/>
        <item m="1" x="3134"/>
        <item m="1" x="1116"/>
        <item m="1" x="3575"/>
        <item m="1" x="848"/>
        <item m="1" x="1488"/>
        <item m="1" x="2975"/>
        <item m="1" x="2641"/>
        <item m="1" x="635"/>
        <item m="1" x="1149"/>
        <item m="1" x="32"/>
        <item m="1" x="1131"/>
        <item m="1" x="385"/>
        <item m="1" x="2399"/>
        <item m="1" x="1634"/>
        <item m="1" x="1824"/>
        <item m="1" x="2874"/>
        <item m="1" x="800"/>
        <item m="1" x="453"/>
        <item m="1" x="2265"/>
        <item m="1" x="2153"/>
        <item m="1" x="2281"/>
        <item m="1" x="611"/>
        <item m="1" x="2922"/>
        <item m="1" x="121"/>
        <item m="1" x="2961"/>
        <item m="1" x="565"/>
        <item m="1" x="331"/>
        <item m="1" x="2089"/>
        <item m="1" x="2852"/>
        <item m="1" x="3196"/>
        <item m="1" x="1523"/>
        <item m="1" x="2905"/>
        <item m="1" x="821"/>
        <item m="1" x="3270"/>
        <item m="1" x="1208"/>
        <item m="1" x="2909"/>
        <item m="1" x="2312"/>
        <item m="1" x="398"/>
        <item m="1" x="1990"/>
        <item m="1" x="1075"/>
        <item m="1" x="1145"/>
        <item m="1" x="1996"/>
        <item m="1" x="451"/>
        <item m="1" x="2725"/>
        <item m="1" x="3250"/>
        <item m="1" x="3348"/>
        <item m="1" x="721"/>
        <item m="1" x="1283"/>
        <item m="1" x="2887"/>
        <item m="1" x="1531"/>
        <item m="1" x="2815"/>
        <item m="1" x="2270"/>
        <item m="1" x="1801"/>
        <item m="1" x="1767"/>
        <item m="1" x="856"/>
        <item m="1" x="2248"/>
        <item m="1" x="3167"/>
        <item m="1" x="1027"/>
        <item m="1" x="545"/>
        <item m="1" x="3090"/>
        <item m="1" x="1915"/>
        <item m="1" x="98"/>
        <item m="1" x="544"/>
        <item m="1" x="603"/>
        <item m="1" x="515"/>
        <item m="1" x="1130"/>
        <item m="1" x="3318"/>
        <item m="1" x="3523"/>
        <item m="1" x="2423"/>
        <item m="1" x="673"/>
        <item m="1" x="2992"/>
        <item m="1" x="758"/>
        <item m="1" x="245"/>
        <item m="1" x="3288"/>
        <item m="1" x="1381"/>
        <item m="1" x="2858"/>
        <item m="1" x="3101"/>
        <item m="1" x="992"/>
        <item m="1" x="2480"/>
        <item m="1" x="3119"/>
        <item m="1" x="1225"/>
        <item m="1" x="3006"/>
        <item m="1" x="1152"/>
        <item m="1" x="3039"/>
        <item m="1" x="1874"/>
        <item m="1" x="3651"/>
        <item m="1" x="295"/>
        <item m="1" x="1549"/>
        <item m="1" x="784"/>
        <item m="1" x="3560"/>
        <item m="1" x="2877"/>
        <item m="1" x="1730"/>
        <item m="1" x="605"/>
        <item m="1" x="1259"/>
        <item m="1" x="1327"/>
        <item m="1" x="3425"/>
        <item m="1" x="789"/>
        <item m="1" x="2915"/>
        <item m="1" x="965"/>
        <item m="1" x="1163"/>
        <item m="1" x="3130"/>
        <item m="1" x="1264"/>
        <item m="1" x="3152"/>
        <item m="1" x="2724"/>
        <item m="1" x="1120"/>
        <item m="1" x="1740"/>
        <item m="1" x="2093"/>
        <item m="1" x="40"/>
        <item m="1" x="3537"/>
        <item m="1" x="1781"/>
        <item m="1" x="2407"/>
        <item m="1" x="1146"/>
        <item m="1" x="3579"/>
        <item m="1" x="2069"/>
        <item m="1" x="2128"/>
        <item m="1" x="706"/>
        <item m="1" x="3647"/>
        <item m="1" x="3652"/>
        <item m="1" x="2816"/>
        <item m="1" x="2500"/>
        <item m="1" x="3505"/>
        <item m="1" x="335"/>
        <item m="1" x="2383"/>
        <item m="1" x="1669"/>
        <item m="1" x="1869"/>
        <item m="1" x="2834"/>
        <item m="1" x="2066"/>
        <item m="1" x="3555"/>
        <item m="1" x="1679"/>
        <item m="1" x="400"/>
        <item m="1" x="656"/>
        <item m="1" x="3420"/>
        <item m="1" x="502"/>
        <item m="1" x="1731"/>
        <item m="1" x="777"/>
        <item m="1" x="2074"/>
        <item m="1" x="1842"/>
        <item m="1" x="643"/>
        <item m="1" x="2184"/>
        <item m="1" x="1005"/>
        <item m="1" x="2088"/>
        <item m="1" x="538"/>
        <item m="1" x="152"/>
        <item m="1" x="1760"/>
        <item m="1" x="3273"/>
        <item m="1" x="18"/>
        <item m="1" x="425"/>
        <item m="1" x="2391"/>
        <item m="1" x="2843"/>
        <item m="1" x="2415"/>
        <item m="1" x="1150"/>
        <item m="1" x="3542"/>
        <item m="1" x="349"/>
        <item m="1" x="1759"/>
        <item m="1" x="2294"/>
        <item m="1" x="991"/>
        <item m="1" x="406"/>
        <item m="1" x="2257"/>
        <item m="1" x="2782"/>
        <item m="1" x="3567"/>
        <item m="1" x="2332"/>
        <item m="1" x="3210"/>
        <item m="1" x="2865"/>
        <item m="1" x="748"/>
        <item m="1" x="1813"/>
        <item m="1" x="3357"/>
        <item m="1" x="1432"/>
        <item m="1" x="135"/>
        <item m="1" x="375"/>
        <item m="1" x="3007"/>
        <item m="1" x="2334"/>
        <item m="1" x="3615"/>
        <item m="1" x="50"/>
        <item m="1" x="3630"/>
        <item m="1" x="2103"/>
        <item m="1" x="1436"/>
        <item m="1" x="1325"/>
        <item m="1" x="542"/>
        <item m="1" x="1162"/>
        <item m="1" x="809"/>
        <item m="1" x="518"/>
        <item m="1" x="1223"/>
        <item m="1" x="2231"/>
        <item m="1" x="580"/>
        <item m="1" x="94"/>
        <item m="1" x="1087"/>
        <item m="1" x="3105"/>
        <item m="1" x="1539"/>
        <item m="1" x="1447"/>
        <item m="1" x="3081"/>
        <item m="1" x="1613"/>
        <item m="1" x="1565"/>
        <item m="1" x="2547"/>
        <item m="1" x="3062"/>
        <item m="1" x="197"/>
        <item m="1" x="1423"/>
        <item m="1" x="2190"/>
        <item m="1" x="3133"/>
        <item m="1" x="1526"/>
        <item m="1" x="3189"/>
        <item m="1" x="2189"/>
        <item m="1" x="3004"/>
        <item m="1" x="258"/>
        <item m="1" x="2295"/>
        <item m="1" x="3494"/>
        <item m="1" x="2568"/>
        <item m="1" x="2366"/>
        <item m="1" x="2031"/>
        <item m="1" x="81"/>
        <item m="1" x="2225"/>
        <item m="1" x="2521"/>
        <item m="1" x="745"/>
        <item m="1" x="2109"/>
        <item m="1" x="1442"/>
        <item m="1" x="3300"/>
        <item m="1" x="3246"/>
        <item m="1" x="3206"/>
        <item m="1" x="3534"/>
        <item m="1" x="770"/>
        <item m="1" x="2684"/>
        <item m="1" x="2573"/>
        <item m="1" x="1140"/>
        <item m="1" x="2824"/>
        <item m="1" x="3129"/>
        <item m="1" x="389"/>
        <item m="1" x="107"/>
        <item m="1" x="662"/>
        <item m="1" x="1184"/>
        <item m="1" x="2428"/>
        <item m="1" x="2463"/>
        <item m="1" x="2850"/>
        <item m="1" x="783"/>
        <item m="1" x="2818"/>
        <item m="1" x="1902"/>
        <item m="1" x="3645"/>
        <item m="1" x="2823"/>
        <item m="1" x="3503"/>
        <item m="1" x="1363"/>
        <item m="1" x="2502"/>
        <item m="1" x="3415"/>
        <item m="1" x="2637"/>
        <item m="1" x="3120"/>
        <item m="1" x="1490"/>
        <item m="1" x="3051"/>
        <item m="1" x="3253"/>
        <item m="1" x="797"/>
        <item m="1" x="1470"/>
        <item m="1" x="54"/>
        <item m="1" x="1056"/>
        <item m="1" x="2910"/>
        <item m="1" x="1664"/>
        <item m="1" x="163"/>
        <item m="1" x="2683"/>
        <item m="1" x="1213"/>
        <item m="1" x="814"/>
        <item m="1" x="1378"/>
        <item m="1" x="626"/>
        <item m="1" x="3643"/>
        <item m="1" x="2946"/>
        <item m="1" x="247"/>
        <item m="1" x="472"/>
        <item m="1" x="2616"/>
        <item m="1" x="3451"/>
        <item m="1" x="2059"/>
        <item m="1" x="2706"/>
        <item m="1" x="933"/>
        <item m="1" x="1016"/>
        <item m="1" x="414"/>
        <item m="1" x="2971"/>
        <item m="1" x="2526"/>
        <item m="1" x="1387"/>
        <item m="1" x="3577"/>
        <item m="1" x="3352"/>
        <item m="1" x="2285"/>
        <item m="1" x="1244"/>
        <item m="1" x="3464"/>
        <item m="1" x="2867"/>
        <item m="1" x="3432"/>
        <item m="1" x="1081"/>
        <item m="1" x="2267"/>
        <item m="1" x="2593"/>
        <item m="1" x="3214"/>
        <item m="1" x="595"/>
        <item m="1" x="1631"/>
        <item m="1" x="937"/>
        <item m="1" x="3231"/>
        <item m="1" x="2639"/>
        <item m="1" x="2688"/>
        <item m="1" x="298"/>
        <item m="1" x="2049"/>
        <item m="1" x="169"/>
        <item m="1" x="3658"/>
        <item m="1" x="1562"/>
        <item m="1" x="2457"/>
        <item m="1" x="1594"/>
        <item m="1" x="1892"/>
        <item m="1" x="3369"/>
        <item m="1" x="3085"/>
        <item m="1" x="1753"/>
        <item m="1" x="1971"/>
        <item m="1" x="2983"/>
        <item m="1" x="1734"/>
        <item m="1" x="1343"/>
        <item m="1" x="1744"/>
        <item m="1" x="1535"/>
        <item m="1" x="140"/>
        <item m="1" x="1292"/>
        <item m="1" x="2611"/>
        <item m="1" x="606"/>
        <item m="1" x="896"/>
        <item m="1" x="2139"/>
        <item m="1" x="459"/>
        <item m="1" x="866"/>
        <item m="1" x="2331"/>
        <item m="1" x="2002"/>
        <item m="1" x="147"/>
        <item m="1" x="1465"/>
        <item m="1" x="1995"/>
        <item m="1" x="497"/>
        <item m="1" x="1015"/>
        <item m="1" x="1004"/>
        <item m="1" x="3455"/>
        <item m="1" x="2453"/>
        <item m="1" x="2939"/>
        <item m="1" x="2473"/>
        <item m="1" x="174"/>
        <item m="1" x="168"/>
        <item m="1" x="1100"/>
        <item m="1" x="1181"/>
        <item m="1" x="3457"/>
        <item m="1" x="1783"/>
        <item m="1" x="2729"/>
        <item m="1" x="1347"/>
        <item m="1" x="1173"/>
        <item m="1" x="3283"/>
        <item m="1" x="3204"/>
        <item m="1" x="1564"/>
        <item m="1" x="2023"/>
        <item m="1" x="44"/>
        <item m="1" x="120"/>
        <item m="1" x="1857"/>
        <item m="1" x="1733"/>
        <item m="1" x="2598"/>
        <item m="1" x="3501"/>
        <item m="1" x="3623"/>
        <item m="1" x="2963"/>
        <item m="1" x="1362"/>
        <item m="1" x="1317"/>
        <item m="1" x="3406"/>
        <item m="1" x="2746"/>
        <item m="1" x="1197"/>
        <item m="1" x="2094"/>
        <item m="1" x="1658"/>
        <item m="1" x="3148"/>
        <item m="1" x="3182"/>
        <item m="1" x="2065"/>
        <item m="1" x="541"/>
        <item m="1" x="1400"/>
        <item m="1" x="1194"/>
        <item m="1" x="1809"/>
        <item m="1" x="1434"/>
        <item m="1" x="2211"/>
        <item m="1" x="728"/>
        <item m="1" x="764"/>
        <item m="1" x="2136"/>
        <item m="1" x="3660"/>
        <item m="1" x="2255"/>
        <item m="1" x="53"/>
        <item m="1" x="2488"/>
        <item m="1" x="1590"/>
        <item m="1" x="2135"/>
        <item m="1" x="2311"/>
        <item m="1" x="2600"/>
        <item m="1" x="1773"/>
        <item m="1" x="3587"/>
        <item m="1" x="444"/>
        <item m="1" x="431"/>
        <item m="1" x="1155"/>
        <item m="1" x="2406"/>
        <item m="1" x="663"/>
        <item m="1" x="1997"/>
        <item m="1" x="928"/>
        <item m="1" x="2697"/>
        <item m="1" x="2964"/>
        <item m="1" x="2620"/>
        <item m="1" x="1639"/>
        <item m="1" x="3650"/>
        <item m="1" x="1926"/>
        <item m="1" x="310"/>
        <item m="1" x="1804"/>
        <item m="1" x="226"/>
        <item m="1" x="2232"/>
        <item m="1" x="1694"/>
        <item m="1" x="2597"/>
        <item m="1" x="1671"/>
        <item m="1" x="1500"/>
        <item m="1" x="3620"/>
        <item m="1" x="3064"/>
        <item m="1" x="1479"/>
        <item m="1" x="3498"/>
        <item m="1" x="2836"/>
        <item m="1" x="2137"/>
        <item m="1" x="3260"/>
        <item m="1" x="130"/>
        <item m="1" x="2574"/>
        <item m="1" x="3493"/>
        <item m="1" x="988"/>
        <item m="1" x="3174"/>
        <item m="1" x="1384"/>
        <item m="1" x="1284"/>
        <item m="1" x="2880"/>
        <item m="1" x="2632"/>
        <item m="1" x="2999"/>
        <item m="1" x="3037"/>
        <item m="1" x="215"/>
        <item m="1" x="1579"/>
        <item m="1" x="573"/>
        <item m="1" x="975"/>
        <item m="1" x="3558"/>
        <item m="1" x="2393"/>
        <item m="1" x="1386"/>
        <item m="1" x="3127"/>
        <item m="1" x="2954"/>
        <item m="1" x="1719"/>
        <item m="1" x="287"/>
        <item m="1" x="2298"/>
        <item m="1" x="1871"/>
        <item m="1" x="2462"/>
        <item m="1" x="1683"/>
        <item m="1" x="912"/>
        <item m="1" x="2454"/>
        <item m="1" x="1169"/>
        <item m="1" x="2618"/>
        <item m="1" x="973"/>
        <item m="1" x="41"/>
        <item m="1" x="1133"/>
        <item m="1" x="707"/>
        <item m="1" x="123"/>
        <item m="1" x="3411"/>
        <item m="1" x="1321"/>
        <item m="1" x="2221"/>
        <item m="1" x="1650"/>
        <item m="1" x="1135"/>
        <item m="1" x="1528"/>
        <item m="1" x="553"/>
        <item m="1" x="1829"/>
        <item m="1" x="2235"/>
        <item m="1" x="894"/>
        <item m="1" x="1761"/>
        <item m="1" x="1060"/>
        <item m="1" x="2675"/>
        <item m="1" x="372"/>
        <item m="1" x="1105"/>
        <item m="1" x="2736"/>
        <item m="1" x="3588"/>
        <item m="1" x="31"/>
        <item m="1" x="3507"/>
        <item m="1" x="1226"/>
        <item m="1" x="253"/>
        <item m="1" x="2107"/>
        <item m="1" x="2591"/>
        <item m="1" x="1006"/>
        <item m="1" x="2592"/>
        <item m="1" x="1429"/>
        <item m="1" x="1864"/>
        <item m="1" x="2033"/>
        <item m="1" x="1103"/>
        <item m="1" x="1927"/>
        <item m="1" x="3336"/>
        <item m="1" x="969"/>
        <item m="1" x="2038"/>
        <item m="1" x="3517"/>
        <item m="1" x="1403"/>
        <item m="1" x="2731"/>
        <item m="1" x="530"/>
        <item m="1" x="3059"/>
        <item m="1" x="1563"/>
        <item m="1" x="84"/>
        <item m="1" x="2090"/>
        <item m="1" x="3562"/>
        <item m="1" x="3628"/>
        <item m="1" x="3338"/>
        <item m="1" x="3322"/>
        <item m="1" x="1507"/>
        <item m="1" x="1991"/>
        <item m="1" x="3019"/>
        <item m="1" x="2924"/>
        <item m="1" x="1422"/>
        <item m="1" x="2070"/>
        <item m="1" x="1790"/>
        <item m="1" x="934"/>
        <item m="1" x="1916"/>
        <item m="1" x="2081"/>
        <item m="1" x="1810"/>
        <item m="1" x="202"/>
        <item m="1" x="3257"/>
        <item m="1" x="1758"/>
        <item m="1" x="827"/>
        <item m="1" x="1048"/>
        <item m="1" x="2670"/>
        <item m="1" x="3342"/>
        <item m="1" x="1277"/>
        <item m="1" x="2929"/>
        <item m="1" x="3388"/>
        <item m="1" x="1034"/>
        <item m="1" x="2659"/>
        <item m="1" x="2405"/>
        <item m="1" x="3521"/>
        <item m="1" x="1296"/>
        <item m="1" x="281"/>
        <item m="1" x="1285"/>
        <item m="1" x="3354"/>
        <item m="1" x="943"/>
        <item m="1" x="3600"/>
        <item m="1" x="3619"/>
        <item m="1" x="134"/>
        <item m="1" x="2872"/>
        <item m="1" x="1268"/>
        <item m="1" x="641"/>
        <item m="1" x="1431"/>
        <item m="1" x="1187"/>
        <item m="1" x="3028"/>
        <item m="1" x="2368"/>
        <item m="1" x="2733"/>
        <item m="1" x="1968"/>
        <item m="1" x="3511"/>
        <item m="1" x="3621"/>
        <item m="1" x="508"/>
        <item m="1" x="250"/>
        <item m="1" x="2349"/>
        <item m="1" x="719"/>
        <item m="1" x="1020"/>
        <item m="1" x="1391"/>
        <item m="1" x="2202"/>
        <item m="1" x="572"/>
        <item m="1" x="3032"/>
        <item m="1" x="3001"/>
        <item m="1" x="1640"/>
        <item m="1" x="93"/>
        <item m="1" x="2501"/>
        <item m="1" x="2304"/>
        <item m="1" x="1000"/>
        <item m="1" x="1474"/>
        <item m="1" x="3617"/>
        <item m="1" x="1779"/>
        <item m="1" x="2845"/>
        <item m="1" x="558"/>
        <item m="1" x="1453"/>
        <item m="1" x="3226"/>
        <item m="1" x="2012"/>
        <item m="1" x="2809"/>
        <item m="1" x="1689"/>
        <item m="1" x="2561"/>
        <item m="1" x="695"/>
        <item m="1" x="2708"/>
        <item m="1" x="65"/>
        <item m="1" x="2604"/>
        <item m="1" x="3213"/>
        <item m="1" x="3400"/>
        <item m="1" x="1718"/>
        <item m="1" x="861"/>
        <item m="1" x="2071"/>
        <item m="1" x="2509"/>
        <item m="1" x="2667"/>
        <item m="1" x="2000"/>
        <item m="1" x="3301"/>
        <item m="1" x="2986"/>
        <item m="1" x="59"/>
        <item m="1" x="1850"/>
        <item m="1" x="1211"/>
        <item m="1" x="322"/>
        <item m="1" x="1336"/>
        <item m="1" x="2640"/>
        <item m="1" x="1835"/>
        <item m="1" x="116"/>
        <item m="1" x="2099"/>
        <item m="1" x="128"/>
        <item m="1" x="2539"/>
        <item m="1" x="1956"/>
        <item m="1" x="1913"/>
        <item m="1" x="424"/>
        <item m="1" x="685"/>
        <item m="1" x="2702"/>
        <item m="1" x="951"/>
        <item m="1" x="637"/>
        <item m="1" x="600"/>
        <item m="1" x="1909"/>
        <item m="1" x="2166"/>
        <item m="1" x="3165"/>
        <item m="1" x="1648"/>
        <item m="1" x="1620"/>
        <item m="1" x="1905"/>
        <item m="1" x="501"/>
        <item m="1" x="1502"/>
        <item m="1" x="619"/>
        <item m="1" x="3087"/>
        <item m="1" x="2499"/>
        <item m="1" x="2300"/>
        <item m="1" x="3263"/>
        <item m="1" x="1771"/>
        <item m="1" x="2218"/>
        <item m="1" x="1450"/>
        <item m="1" x="25"/>
        <item m="1" x="3060"/>
        <item m="1" x="3324"/>
        <item m="1" x="760"/>
        <item m="1" x="2558"/>
        <item m="1" x="833"/>
        <item m="1" x="2763"/>
        <item m="1" x="383"/>
        <item x="10"/>
        <item m="1" x="420"/>
        <item m="1" x="878"/>
        <item m="1" x="1309"/>
        <item m="1" x="1778"/>
        <item m="1" x="2242"/>
        <item m="1" x="2727"/>
        <item m="1" x="3179"/>
        <item m="1" x="3641"/>
        <item m="1" x="488"/>
        <item m="1" x="213"/>
        <item m="1" x="478"/>
        <item m="1" x="698"/>
        <item m="1" x="913"/>
        <item m="1" x="1651"/>
        <item m="1" x="683"/>
        <item m="1" x="2205"/>
        <item x="11"/>
        <item t="default"/>
      </items>
    </pivotField>
    <pivotField showAll="0"/>
    <pivotField showAll="0"/>
    <pivotField showAll="0"/>
    <pivotField showAll="0"/>
    <pivotField showAll="0"/>
    <pivotField showAll="0"/>
    <pivotField showAll="0"/>
    <pivotField showAll="0"/>
    <pivotField showAll="0"/>
    <pivotField showAll="0"/>
    <pivotField axis="axisRow" showAll="0">
      <items count="15">
        <item x="3"/>
        <item x="5"/>
        <item x="6"/>
        <item x="0"/>
        <item x="2"/>
        <item x="4"/>
        <item x="1"/>
        <item h="1" x="8"/>
        <item h="1" m="1" x="12"/>
        <item h="1" m="1" x="10"/>
        <item h="1" m="1" x="9"/>
        <item h="1" m="1" x="13"/>
        <item h="1" x="7"/>
        <item h="1" m="1" x="11"/>
        <item t="default"/>
      </items>
    </pivotField>
    <pivotField showAll="0"/>
    <pivotField showAll="0"/>
    <pivotField showAll="0"/>
    <pivotField showAll="0"/>
    <pivotField showAll="0"/>
    <pivotField axis="axisCol" outline="0" showAll="0" defaultSubtotal="0">
      <items count="2">
        <item n="Active" x="0"/>
        <item x="1"/>
      </items>
    </pivotField>
    <pivotField showAll="0"/>
    <pivotField showAll="0"/>
  </pivotFields>
  <rowFields count="2">
    <field x="12"/>
    <field x="1"/>
  </rowFields>
  <rowItems count="19">
    <i>
      <x/>
    </i>
    <i r="1">
      <x v="1"/>
    </i>
    <i r="1">
      <x v="2"/>
    </i>
    <i r="1">
      <x v="7"/>
    </i>
    <i r="1">
      <x v="3660"/>
    </i>
    <i>
      <x v="1"/>
    </i>
    <i r="1">
      <x v="8"/>
    </i>
    <i>
      <x v="2"/>
    </i>
    <i r="1">
      <x v="9"/>
    </i>
    <i>
      <x v="3"/>
    </i>
    <i r="1">
      <x v="3"/>
    </i>
    <i>
      <x v="4"/>
    </i>
    <i r="1">
      <x v="4"/>
    </i>
    <i>
      <x v="5"/>
    </i>
    <i r="1">
      <x v="5"/>
    </i>
    <i>
      <x v="6"/>
    </i>
    <i r="1">
      <x/>
    </i>
    <i r="1">
      <x v="6"/>
    </i>
    <i t="grand">
      <x/>
    </i>
  </rowItems>
  <colFields count="2">
    <field x="18"/>
    <field x="-2"/>
  </colFields>
  <colItems count="4">
    <i>
      <x/>
      <x/>
    </i>
    <i r="1" i="1">
      <x v="1"/>
    </i>
    <i t="grand">
      <x/>
    </i>
    <i t="grand" i="1">
      <x/>
    </i>
  </colItems>
  <dataFields count="2">
    <dataField name="%" fld="0" subtotal="count" showDataAs="percentOfTotal" baseField="12" baseItem="0" numFmtId="10"/>
    <dataField name="Total Companies" fld="0" subtotal="count" baseField="12" baseItem="0"/>
  </dataFields>
  <formats count="3">
    <format dxfId="48">
      <pivotArea dataOnly="0" labelOnly="1" outline="0" fieldPosition="0">
        <references count="1">
          <reference field="4294967294" count="1">
            <x v="0"/>
          </reference>
        </references>
      </pivotArea>
    </format>
    <format dxfId="47">
      <pivotArea field="12" type="button" dataOnly="0" labelOnly="1" outline="0" axis="axisRow" fieldPosition="0"/>
    </format>
    <format dxfId="4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3F283E9-5A8A-4311-B6F5-A0C040E34E60}" name="Company Issue Statistics" cacheId="1" applyNumberFormats="0" applyBorderFormats="0" applyFontFormats="0" applyPatternFormats="0" applyAlignmentFormats="0" applyWidthHeightFormats="1" dataCaption="Values" updatedVersion="6" minRefreshableVersion="3" useAutoFormatting="1" itemPrintTitles="1" mergeItem="1" createdVersion="6" indent="0" outline="1" outlineData="1" multipleFieldFilters="0">
  <location ref="S23:Y35" firstHeaderRow="1" firstDataRow="3" firstDataCol="1"/>
  <pivotFields count="15">
    <pivotField dataField="1" showAll="0"/>
    <pivotField showAll="0"/>
    <pivotField showAll="0"/>
    <pivotField showAll="0"/>
    <pivotField showAll="0"/>
    <pivotField showAll="0"/>
    <pivotField showAll="0"/>
    <pivotField showAll="0"/>
    <pivotField showAll="0"/>
    <pivotField showAll="0"/>
    <pivotField axis="axisRow" showAll="0">
      <items count="585">
        <item x="1"/>
        <item x="0"/>
        <item x="2"/>
        <item x="3"/>
        <item m="1" x="171"/>
        <item m="1" x="294"/>
        <item m="1" x="441"/>
        <item m="1" x="189"/>
        <item m="1" x="366"/>
        <item m="1" x="331"/>
        <item m="1" x="121"/>
        <item m="1" x="177"/>
        <item m="1" x="57"/>
        <item m="1" x="141"/>
        <item m="1" x="309"/>
        <item m="1" x="314"/>
        <item m="1" x="582"/>
        <item m="1" x="248"/>
        <item m="1" x="411"/>
        <item m="1" x="172"/>
        <item m="1" x="105"/>
        <item m="1" x="518"/>
        <item m="1" x="571"/>
        <item m="1" x="15"/>
        <item m="1" x="65"/>
        <item m="1" x="207"/>
        <item m="1" x="393"/>
        <item m="1" x="210"/>
        <item m="1" x="546"/>
        <item m="1" x="528"/>
        <item m="1" x="386"/>
        <item m="1" x="251"/>
        <item m="1" x="313"/>
        <item m="1" x="435"/>
        <item m="1" x="361"/>
        <item m="1" x="200"/>
        <item m="1" x="477"/>
        <item m="1" x="199"/>
        <item m="1" x="184"/>
        <item m="1" x="456"/>
        <item m="1" x="319"/>
        <item m="1" x="470"/>
        <item m="1" x="549"/>
        <item m="1" x="155"/>
        <item m="1" x="453"/>
        <item m="1" x="559"/>
        <item m="1" x="28"/>
        <item m="1" x="130"/>
        <item m="1" x="256"/>
        <item m="1" x="170"/>
        <item m="1" x="381"/>
        <item m="1" x="233"/>
        <item m="1" x="352"/>
        <item m="1" x="149"/>
        <item m="1" x="16"/>
        <item m="1" x="355"/>
        <item m="1" x="472"/>
        <item m="1" x="90"/>
        <item m="1" x="576"/>
        <item m="1" x="143"/>
        <item m="1" x="265"/>
        <item m="1" x="252"/>
        <item m="1" x="519"/>
        <item m="1" x="488"/>
        <item m="1" x="281"/>
        <item m="1" x="127"/>
        <item m="1" x="510"/>
        <item m="1" x="539"/>
        <item m="1" x="11"/>
        <item m="1" x="126"/>
        <item m="1" x="78"/>
        <item m="1" x="406"/>
        <item m="1" x="245"/>
        <item m="1" x="412"/>
        <item m="1" x="443"/>
        <item m="1" x="306"/>
        <item m="1" x="566"/>
        <item m="1" x="282"/>
        <item m="1" x="475"/>
        <item m="1" x="581"/>
        <item m="1" x="288"/>
        <item m="1" x="212"/>
        <item m="1" x="496"/>
        <item m="1" x="198"/>
        <item m="1" x="433"/>
        <item m="1" x="83"/>
        <item m="1" x="187"/>
        <item m="1" x="357"/>
        <item m="1" x="10"/>
        <item m="1" x="573"/>
        <item m="1" x="323"/>
        <item m="1" x="315"/>
        <item m="1" x="458"/>
        <item m="1" x="506"/>
        <item m="1" x="303"/>
        <item m="1" x="473"/>
        <item m="1" x="104"/>
        <item m="1" x="348"/>
        <item m="1" x="277"/>
        <item m="1" x="96"/>
        <item m="1" x="487"/>
        <item m="1" x="58"/>
        <item m="1" x="38"/>
        <item m="1" x="544"/>
        <item m="1" x="372"/>
        <item m="1" x="493"/>
        <item m="1" x="337"/>
        <item m="1" x="247"/>
        <item m="1" x="410"/>
        <item m="1" x="457"/>
        <item m="1" x="190"/>
        <item m="1" x="362"/>
        <item m="1" x="41"/>
        <item m="1" x="152"/>
        <item m="1" x="80"/>
        <item m="1" x="384"/>
        <item m="1" x="304"/>
        <item m="1" x="257"/>
        <item m="1" x="561"/>
        <item m="1" x="262"/>
        <item m="1" x="533"/>
        <item m="1" x="131"/>
        <item m="1" x="513"/>
        <item m="1" x="359"/>
        <item m="1" x="292"/>
        <item m="1" x="557"/>
        <item m="1" x="40"/>
        <item m="1" x="145"/>
        <item m="1" x="9"/>
        <item m="1" x="439"/>
        <item m="1" x="484"/>
        <item m="1" x="220"/>
        <item m="1" x="465"/>
        <item m="1" x="578"/>
        <item m="1" x="276"/>
        <item m="1" x="46"/>
        <item m="1" x="253"/>
        <item m="1" x="70"/>
        <item m="1" x="568"/>
        <item m="1" x="169"/>
        <item m="1" x="67"/>
        <item m="1" x="369"/>
        <item m="1" x="383"/>
        <item m="1" x="398"/>
        <item m="1" x="205"/>
        <item m="1" x="322"/>
        <item m="1" x="481"/>
        <item m="1" x="211"/>
        <item m="1" x="430"/>
        <item m="1" x="370"/>
        <item m="1" x="542"/>
        <item m="1" x="260"/>
        <item m="1" x="552"/>
        <item m="1" x="367"/>
        <item m="1" x="110"/>
        <item m="1" x="89"/>
        <item m="1" x="114"/>
        <item m="1" x="547"/>
        <item m="1" x="324"/>
        <item m="1" x="119"/>
        <item m="1" x="203"/>
        <item m="1" x="574"/>
        <item m="1" x="55"/>
        <item m="1" x="517"/>
        <item m="1" x="564"/>
        <item m="1" x="62"/>
        <item m="1" x="318"/>
        <item m="1" x="88"/>
        <item m="1" x="235"/>
        <item m="1" x="17"/>
        <item m="1" x="560"/>
        <item m="1" x="237"/>
        <item m="1" x="30"/>
        <item m="1" x="223"/>
        <item m="1" x="42"/>
        <item m="1" x="85"/>
        <item m="1" x="76"/>
        <item m="1" x="526"/>
        <item m="1" x="122"/>
        <item m="1" x="219"/>
        <item m="1" x="23"/>
        <item m="1" x="350"/>
        <item m="1" x="302"/>
        <item m="1" x="462"/>
        <item m="1" x="349"/>
        <item m="1" x="464"/>
        <item m="1" x="459"/>
        <item m="1" x="402"/>
        <item m="1" x="174"/>
        <item m="1" x="550"/>
        <item m="1" x="98"/>
        <item m="1" x="347"/>
        <item m="1" x="34"/>
        <item m="1" x="339"/>
        <item m="1" x="148"/>
        <item m="1" x="79"/>
        <item m="1" x="529"/>
        <item m="1" x="144"/>
        <item m="1" x="92"/>
        <item m="1" x="521"/>
        <item m="1" x="53"/>
        <item m="1" x="404"/>
        <item m="1" x="135"/>
        <item m="1" x="175"/>
        <item m="1" x="242"/>
        <item m="1" x="244"/>
        <item m="1" x="106"/>
        <item m="1" x="307"/>
        <item m="1" x="275"/>
        <item m="1" x="340"/>
        <item m="1" x="555"/>
        <item m="1" x="486"/>
        <item m="1" x="446"/>
        <item m="1" x="229"/>
        <item m="1" x="231"/>
        <item m="1" x="530"/>
        <item m="1" x="72"/>
        <item m="1" x="68"/>
        <item m="1" x="498"/>
        <item m="1" x="31"/>
        <item m="1" x="226"/>
        <item m="1" x="466"/>
        <item m="1" x="305"/>
        <item m="1" x="392"/>
        <item m="1" x="450"/>
        <item m="1" x="438"/>
        <item m="1" x="375"/>
        <item m="1" x="295"/>
        <item m="1" x="326"/>
        <item m="1" x="241"/>
        <item m="1" x="115"/>
        <item m="1" x="413"/>
        <item m="1" x="445"/>
        <item m="1" x="136"/>
        <item m="1" x="333"/>
        <item m="1" x="527"/>
        <item m="1" x="50"/>
        <item m="1" x="99"/>
        <item m="1" x="128"/>
        <item m="1" x="407"/>
        <item m="1" x="268"/>
        <item m="1" x="108"/>
        <item m="1" x="330"/>
        <item m="1" x="343"/>
        <item m="1" x="261"/>
        <item m="1" x="165"/>
        <item m="1" x="432"/>
        <item m="1" x="45"/>
        <item m="1" x="36"/>
        <item m="1" x="147"/>
        <item m="1" x="447"/>
        <item m="1" x="37"/>
        <item m="1" x="129"/>
        <item m="1" x="287"/>
        <item m="1" x="502"/>
        <item m="1" x="192"/>
        <item m="1" x="569"/>
        <item m="1" x="27"/>
        <item m="1" x="334"/>
        <item m="1" x="7"/>
        <item m="1" x="440"/>
        <item m="1" x="254"/>
        <item m="1" x="509"/>
        <item m="1" x="388"/>
        <item m="1" x="553"/>
        <item m="1" x="13"/>
        <item m="1" x="387"/>
        <item m="1" x="44"/>
        <item m="1" x="209"/>
        <item m="1" x="471"/>
        <item m="1" x="572"/>
        <item m="1" x="580"/>
        <item m="1" x="415"/>
        <item m="1" x="341"/>
        <item m="1" x="267"/>
        <item m="1" x="59"/>
        <item m="1" x="14"/>
        <item m="1" x="474"/>
        <item m="1" x="541"/>
        <item m="1" x="320"/>
        <item m="1" x="505"/>
        <item m="1" x="427"/>
        <item m="1" x="51"/>
        <item m="1" x="537"/>
        <item m="1" x="476"/>
        <item m="1" x="243"/>
        <item m="1" x="204"/>
        <item m="1" x="63"/>
        <item m="1" x="565"/>
        <item m="1" x="246"/>
        <item m="1" x="113"/>
        <item m="1" x="71"/>
        <item m="1" x="227"/>
        <item m="1" x="494"/>
        <item m="1" x="503"/>
        <item m="1" x="426"/>
        <item m="1" x="224"/>
        <item m="1" x="95"/>
        <item m="1" x="20"/>
        <item m="1" x="32"/>
        <item m="1" x="278"/>
        <item m="1" x="422"/>
        <item m="1" x="146"/>
        <item m="1" x="511"/>
        <item m="1" x="140"/>
        <item m="1" x="419"/>
        <item m="1" x="185"/>
        <item m="1" x="195"/>
        <item m="1" x="449"/>
        <item m="1" x="293"/>
        <item m="1" x="391"/>
        <item m="1" x="424"/>
        <item m="1" x="193"/>
        <item m="1" x="18"/>
        <item m="1" x="33"/>
        <item m="1" x="273"/>
        <item m="1" x="562"/>
        <item m="1" x="186"/>
        <item m="1" x="556"/>
        <item m="1" x="91"/>
        <item m="1" x="467"/>
        <item m="1" x="263"/>
        <item m="1" x="156"/>
        <item m="1" x="454"/>
        <item m="1" x="536"/>
        <item m="1" x="5"/>
        <item m="1" x="81"/>
        <item m="1" x="434"/>
        <item m="1" x="6"/>
        <item m="1" x="206"/>
        <item m="1" x="93"/>
        <item m="1" x="255"/>
        <item m="1" x="482"/>
        <item m="1" x="208"/>
        <item m="1" x="266"/>
        <item m="1" x="336"/>
        <item m="1" x="164"/>
        <item m="1" x="225"/>
        <item m="1" x="289"/>
        <item m="1" x="436"/>
        <item m="1" x="500"/>
        <item m="1" x="538"/>
        <item m="1" x="414"/>
        <item m="1" x="523"/>
        <item m="1" x="87"/>
        <item m="1" x="120"/>
        <item m="1" x="420"/>
        <item m="1" x="150"/>
        <item m="1" x="401"/>
        <item m="1" x="460"/>
        <item m="1" x="480"/>
        <item m="1" x="534"/>
        <item m="1" x="342"/>
        <item m="1" x="133"/>
        <item m="1" x="168"/>
        <item m="1" x="495"/>
        <item m="1" x="548"/>
        <item m="1" x="111"/>
        <item m="1" x="463"/>
        <item m="1" x="94"/>
        <item m="1" x="577"/>
        <item m="1" x="116"/>
        <item m="1" x="468"/>
        <item m="1" x="160"/>
        <item m="1" x="86"/>
        <item m="1" x="345"/>
        <item m="1" x="191"/>
        <item m="1" x="301"/>
        <item m="1" x="351"/>
        <item m="1" x="48"/>
        <item m="1" x="66"/>
        <item m="1" x="373"/>
        <item m="1" x="428"/>
        <item m="1" x="75"/>
        <item m="1" x="101"/>
        <item m="1" x="421"/>
        <item m="1" x="298"/>
        <item m="1" x="328"/>
        <item m="1" x="376"/>
        <item m="1" x="183"/>
        <item m="1" x="418"/>
        <item m="1" x="360"/>
        <item m="1" x="77"/>
        <item m="1" x="390"/>
        <item m="1" x="230"/>
        <item m="1" x="213"/>
        <item m="1" x="374"/>
        <item m="1" x="508"/>
        <item m="1" x="408"/>
        <item m="1" x="232"/>
        <item m="1" x="29"/>
        <item m="1" x="118"/>
        <item m="1" x="399"/>
        <item m="1" x="344"/>
        <item m="1" x="507"/>
        <item m="1" x="380"/>
        <item m="1" x="515"/>
        <item m="1" x="178"/>
        <item m="1" x="316"/>
        <item m="1" x="431"/>
        <item m="1" x="69"/>
        <item m="1" x="335"/>
        <item m="1" x="442"/>
        <item m="1" x="575"/>
        <item m="1" x="49"/>
        <item m="1" x="299"/>
        <item m="1" x="39"/>
        <item m="1" x="264"/>
        <item m="1" x="286"/>
        <item m="1" x="216"/>
        <item m="1" x="124"/>
        <item m="1" x="308"/>
        <item m="1" x="217"/>
        <item m="1" x="259"/>
        <item m="1" x="284"/>
        <item m="1" x="425"/>
        <item m="1" x="554"/>
        <item m="1" x="469"/>
        <item m="1" x="405"/>
        <item m="1" x="139"/>
        <item m="1" x="403"/>
        <item m="1" x="162"/>
        <item m="1" x="163"/>
        <item m="1" x="385"/>
        <item m="1" x="249"/>
        <item m="1" x="182"/>
        <item m="1" x="378"/>
        <item m="1" x="180"/>
        <item m="1" x="279"/>
        <item m="1" x="291"/>
        <item m="1" x="102"/>
        <item m="1" x="52"/>
        <item m="1" x="103"/>
        <item m="1" x="338"/>
        <item m="1" x="321"/>
        <item m="1" x="84"/>
        <item m="1" x="332"/>
        <item m="1" x="117"/>
        <item m="1" x="558"/>
        <item m="1" x="137"/>
        <item m="1" x="429"/>
        <item m="1" x="545"/>
        <item m="1" x="250"/>
        <item m="1" x="483"/>
        <item m="1" x="522"/>
        <item m="1" x="234"/>
        <item m="1" x="499"/>
        <item m="1" x="43"/>
        <item m="1" x="531"/>
        <item m="1" x="437"/>
        <item m="1" x="524"/>
        <item m="1" x="397"/>
        <item m="1" x="201"/>
        <item m="1" x="448"/>
        <item m="1" x="478"/>
        <item m="1" x="489"/>
        <item m="1" x="238"/>
        <item m="1" x="409"/>
        <item m="1" x="202"/>
        <item m="1" x="197"/>
        <item m="1" x="196"/>
        <item m="1" x="215"/>
        <item m="1" x="26"/>
        <item m="1" x="504"/>
        <item m="1" x="290"/>
        <item m="1" x="24"/>
        <item m="1" x="492"/>
        <item m="1" x="540"/>
        <item m="1" x="280"/>
        <item m="1" x="218"/>
        <item m="1" x="161"/>
        <item m="1" x="142"/>
        <item m="1" x="368"/>
        <item m="1" x="563"/>
        <item m="1" x="269"/>
        <item m="1" x="310"/>
        <item m="1" x="56"/>
        <item m="1" x="176"/>
        <item m="1" x="452"/>
        <item m="1" x="311"/>
        <item m="1" x="296"/>
        <item m="1" x="228"/>
        <item m="1" x="134"/>
        <item m="1" x="157"/>
        <item m="1" x="579"/>
        <item m="1" x="327"/>
        <item m="1" x="400"/>
        <item m="1" x="166"/>
        <item m="1" x="100"/>
        <item m="1" x="74"/>
        <item m="1" x="455"/>
        <item m="1" x="394"/>
        <item m="1" x="583"/>
        <item m="1" x="491"/>
        <item m="1" x="35"/>
        <item m="1" x="221"/>
        <item m="1" x="444"/>
        <item m="1" x="364"/>
        <item m="1" x="47"/>
        <item m="1" x="167"/>
        <item m="1" x="138"/>
        <item m="1" x="312"/>
        <item m="1" x="236"/>
        <item m="1" x="194"/>
        <item m="1" x="377"/>
        <item m="1" x="151"/>
        <item m="1" x="354"/>
        <item m="1" x="382"/>
        <item m="1" x="379"/>
        <item m="1" x="125"/>
        <item m="1" x="520"/>
        <item m="1" x="21"/>
        <item m="1" x="73"/>
        <item m="1" x="19"/>
        <item m="1" x="123"/>
        <item m="1" x="525"/>
        <item m="1" x="512"/>
        <item m="1" x="12"/>
        <item m="1" x="535"/>
        <item m="1" x="346"/>
        <item m="1" x="159"/>
        <item m="1" x="22"/>
        <item m="1" x="222"/>
        <item m="1" x="173"/>
        <item m="1" x="514"/>
        <item m="1" x="297"/>
        <item m="1" x="181"/>
        <item m="1" x="97"/>
        <item m="1" x="325"/>
        <item m="1" x="423"/>
        <item m="1" x="570"/>
        <item m="1" x="356"/>
        <item m="1" x="285"/>
        <item m="1" x="153"/>
        <item m="1" x="274"/>
        <item m="1" x="358"/>
        <item m="1" x="479"/>
        <item m="1" x="239"/>
        <item m="1" x="54"/>
        <item m="1" x="214"/>
        <item m="1" x="461"/>
        <item m="1" x="363"/>
        <item m="1" x="82"/>
        <item m="1" x="485"/>
        <item m="1" x="272"/>
        <item m="1" x="365"/>
        <item m="1" x="112"/>
        <item m="1" x="64"/>
        <item m="1" x="567"/>
        <item m="1" x="109"/>
        <item m="1" x="8"/>
        <item m="1" x="4"/>
        <item m="1" x="396"/>
        <item m="1" x="532"/>
        <item m="1" x="389"/>
        <item m="1" x="270"/>
        <item m="1" x="497"/>
        <item m="1" x="353"/>
        <item m="1" x="258"/>
        <item m="1" x="501"/>
        <item m="1" x="25"/>
        <item m="1" x="283"/>
        <item m="1" x="132"/>
        <item m="1" x="60"/>
        <item m="1" x="188"/>
        <item m="1" x="516"/>
        <item m="1" x="154"/>
        <item m="1" x="551"/>
        <item m="1" x="451"/>
        <item m="1" x="300"/>
        <item m="1" x="490"/>
        <item m="1" x="158"/>
        <item m="1" x="543"/>
        <item m="1" x="107"/>
        <item m="1" x="240"/>
        <item m="1" x="395"/>
        <item m="1" x="416"/>
        <item m="1" x="317"/>
        <item m="1" x="329"/>
        <item m="1" x="371"/>
        <item m="1" x="417"/>
        <item m="1" x="271"/>
        <item m="1" x="61"/>
        <item m="1" x="179"/>
        <item t="default"/>
      </items>
    </pivotField>
    <pivotField axis="axisRow" showAll="0">
      <items count="13">
        <item x="1"/>
        <item x="2"/>
        <item x="0"/>
        <item x="3"/>
        <item h="1" x="4"/>
        <item h="1" m="1" x="5"/>
        <item h="1" m="1" x="8"/>
        <item h="1" m="1" x="7"/>
        <item h="1" m="1" x="10"/>
        <item h="1" m="1" x="6"/>
        <item h="1" m="1" x="9"/>
        <item h="1" m="1" x="11"/>
        <item t="default"/>
      </items>
    </pivotField>
    <pivotField axis="axisCol" showAll="0">
      <items count="4">
        <item x="1"/>
        <item x="0"/>
        <item x="2"/>
        <item t="default"/>
      </items>
    </pivotField>
    <pivotField showAll="0"/>
    <pivotField showAll="0"/>
  </pivotFields>
  <rowFields count="2">
    <field x="10"/>
    <field x="11"/>
  </rowFields>
  <rowItems count="10">
    <i>
      <x/>
    </i>
    <i r="1">
      <x/>
    </i>
    <i r="1">
      <x v="1"/>
    </i>
    <i r="1">
      <x v="2"/>
    </i>
    <i r="1">
      <x v="3"/>
    </i>
    <i>
      <x v="1"/>
    </i>
    <i r="1">
      <x v="2"/>
    </i>
    <i>
      <x v="2"/>
    </i>
    <i r="1">
      <x v="1"/>
    </i>
    <i t="grand">
      <x/>
    </i>
  </rowItems>
  <colFields count="2">
    <field x="12"/>
    <field x="-2"/>
  </colFields>
  <colItems count="6">
    <i>
      <x/>
      <x/>
    </i>
    <i r="1" i="1">
      <x v="1"/>
    </i>
    <i>
      <x v="1"/>
      <x/>
    </i>
    <i r="1" i="1">
      <x v="1"/>
    </i>
    <i t="grand">
      <x/>
    </i>
    <i t="grand" i="1">
      <x/>
    </i>
  </colItems>
  <dataFields count="2">
    <dataField name="%" fld="0" subtotal="count" showDataAs="percentOfTotal" baseField="9" baseItem="0" numFmtId="10"/>
    <dataField name="Issues" fld="0" subtotal="count" baseField="9" baseItem="0"/>
  </dataFields>
  <formats count="10">
    <format dxfId="58">
      <pivotArea dataOnly="0" labelOnly="1" fieldPosition="0">
        <references count="1">
          <reference field="12" count="2">
            <x v="0"/>
            <x v="1"/>
          </reference>
        </references>
      </pivotArea>
    </format>
    <format dxfId="57">
      <pivotArea dataOnly="0" labelOnly="1" fieldPosition="0">
        <references count="1">
          <reference field="12" count="2">
            <x v="0"/>
            <x v="1"/>
          </reference>
        </references>
      </pivotArea>
    </format>
    <format dxfId="56">
      <pivotArea field="12" dataOnly="0" labelOnly="1" grandCol="1" outline="0" axis="axisCol" fieldPosition="0">
        <references count="1">
          <reference field="4294967294" count="1" selected="0">
            <x v="0"/>
          </reference>
        </references>
      </pivotArea>
    </format>
    <format dxfId="55">
      <pivotArea field="12" dataOnly="0" labelOnly="1" grandCol="1" outline="0" axis="axisCol" fieldPosition="0">
        <references count="1">
          <reference field="4294967294" count="1" selected="0">
            <x v="1"/>
          </reference>
        </references>
      </pivotArea>
    </format>
    <format dxfId="54">
      <pivotArea dataOnly="0" labelOnly="1" outline="0" fieldPosition="0">
        <references count="2">
          <reference field="4294967294" count="2">
            <x v="0"/>
            <x v="1"/>
          </reference>
          <reference field="12" count="1" selected="0">
            <x v="0"/>
          </reference>
        </references>
      </pivotArea>
    </format>
    <format dxfId="53">
      <pivotArea dataOnly="0" labelOnly="1" outline="0" fieldPosition="0">
        <references count="2">
          <reference field="4294967294" count="2">
            <x v="0"/>
            <x v="1"/>
          </reference>
          <reference field="12" count="1" selected="0">
            <x v="1"/>
          </reference>
        </references>
      </pivotArea>
    </format>
    <format dxfId="52">
      <pivotArea field="12" dataOnly="0" labelOnly="1" grandCol="1" outline="0" axis="axisCol" fieldPosition="0">
        <references count="1">
          <reference field="4294967294" count="1" selected="0">
            <x v="0"/>
          </reference>
        </references>
      </pivotArea>
    </format>
    <format dxfId="51">
      <pivotArea field="12" dataOnly="0" labelOnly="1" grandCol="1" outline="0" axis="axisCol" fieldPosition="0">
        <references count="1">
          <reference field="4294967294" count="1" selected="0">
            <x v="1"/>
          </reference>
        </references>
      </pivotArea>
    </format>
    <format dxfId="50">
      <pivotArea dataOnly="0" labelOnly="1" outline="0" fieldPosition="0">
        <references count="2">
          <reference field="4294967294" count="2">
            <x v="0"/>
            <x v="1"/>
          </reference>
          <reference field="12" count="1" selected="0">
            <x v="0"/>
          </reference>
        </references>
      </pivotArea>
    </format>
    <format dxfId="49">
      <pivotArea dataOnly="0" labelOnly="1" outline="0" fieldPosition="0">
        <references count="2">
          <reference field="4294967294" count="2">
            <x v="0"/>
            <x v="1"/>
          </reference>
          <reference field="1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C8823F9-B634-4844-8B1C-1B36AAC69153}" name="Issue Statistics" cacheId="1" applyNumberFormats="0" applyBorderFormats="0" applyFontFormats="0" applyPatternFormats="0" applyAlignmentFormats="0" applyWidthHeightFormats="1" dataCaption="Values" updatedVersion="6" minRefreshableVersion="3" useAutoFormatting="1" itemPrintTitles="1" mergeItem="1" createdVersion="6" indent="0" outline="1" outlineData="1" multipleFieldFilters="0">
  <location ref="S2:Y9" firstHeaderRow="1" firstDataRow="3" firstDataCol="1"/>
  <pivotFields count="15">
    <pivotField dataField="1" showAll="0"/>
    <pivotField showAll="0"/>
    <pivotField showAll="0"/>
    <pivotField showAll="0"/>
    <pivotField showAll="0"/>
    <pivotField showAll="0"/>
    <pivotField showAll="0"/>
    <pivotField showAll="0"/>
    <pivotField showAll="0"/>
    <pivotField showAll="0"/>
    <pivotField showAll="0"/>
    <pivotField axis="axisRow" showAll="0">
      <items count="13">
        <item x="1"/>
        <item x="2"/>
        <item x="0"/>
        <item x="3"/>
        <item h="1" x="4"/>
        <item h="1" m="1" x="5"/>
        <item h="1" m="1" x="8"/>
        <item h="1" m="1" x="7"/>
        <item h="1" m="1" x="10"/>
        <item h="1" m="1" x="6"/>
        <item h="1" m="1" x="9"/>
        <item h="1" m="1" x="11"/>
        <item t="default"/>
      </items>
    </pivotField>
    <pivotField axis="axisCol" showAll="0">
      <items count="4">
        <item x="1"/>
        <item x="0"/>
        <item x="2"/>
        <item t="default"/>
      </items>
    </pivotField>
    <pivotField showAll="0"/>
    <pivotField showAll="0"/>
  </pivotFields>
  <rowFields count="1">
    <field x="11"/>
  </rowFields>
  <rowItems count="5">
    <i>
      <x/>
    </i>
    <i>
      <x v="1"/>
    </i>
    <i>
      <x v="2"/>
    </i>
    <i>
      <x v="3"/>
    </i>
    <i t="grand">
      <x/>
    </i>
  </rowItems>
  <colFields count="2">
    <field x="12"/>
    <field x="-2"/>
  </colFields>
  <colItems count="6">
    <i>
      <x/>
      <x/>
    </i>
    <i r="1" i="1">
      <x v="1"/>
    </i>
    <i>
      <x v="1"/>
      <x/>
    </i>
    <i r="1" i="1">
      <x v="1"/>
    </i>
    <i t="grand">
      <x/>
    </i>
    <i t="grand" i="1">
      <x/>
    </i>
  </colItems>
  <dataFields count="2">
    <dataField name="%" fld="0" subtotal="count" showDataAs="percentOfTotal" baseField="9" baseItem="0" numFmtId="10"/>
    <dataField name="Issues" fld="0" subtotal="count" baseField="9" baseItem="0"/>
  </dataFields>
  <formats count="10">
    <format dxfId="68">
      <pivotArea dataOnly="0" labelOnly="1" fieldPosition="0">
        <references count="1">
          <reference field="12" count="2">
            <x v="0"/>
            <x v="1"/>
          </reference>
        </references>
      </pivotArea>
    </format>
    <format dxfId="67">
      <pivotArea dataOnly="0" labelOnly="1" fieldPosition="0">
        <references count="1">
          <reference field="12" count="2">
            <x v="0"/>
            <x v="1"/>
          </reference>
        </references>
      </pivotArea>
    </format>
    <format dxfId="66">
      <pivotArea field="12" dataOnly="0" labelOnly="1" grandCol="1" outline="0" axis="axisCol" fieldPosition="0">
        <references count="1">
          <reference field="4294967294" count="1" selected="0">
            <x v="0"/>
          </reference>
        </references>
      </pivotArea>
    </format>
    <format dxfId="65">
      <pivotArea field="12" dataOnly="0" labelOnly="1" grandCol="1" outline="0" axis="axisCol" fieldPosition="0">
        <references count="1">
          <reference field="4294967294" count="1" selected="0">
            <x v="1"/>
          </reference>
        </references>
      </pivotArea>
    </format>
    <format dxfId="64">
      <pivotArea dataOnly="0" labelOnly="1" outline="0" fieldPosition="0">
        <references count="2">
          <reference field="4294967294" count="2">
            <x v="0"/>
            <x v="1"/>
          </reference>
          <reference field="12" count="1" selected="0">
            <x v="0"/>
          </reference>
        </references>
      </pivotArea>
    </format>
    <format dxfId="63">
      <pivotArea dataOnly="0" labelOnly="1" outline="0" fieldPosition="0">
        <references count="2">
          <reference field="4294967294" count="2">
            <x v="0"/>
            <x v="1"/>
          </reference>
          <reference field="12" count="1" selected="0">
            <x v="1"/>
          </reference>
        </references>
      </pivotArea>
    </format>
    <format dxfId="62">
      <pivotArea field="12" dataOnly="0" labelOnly="1" grandCol="1" outline="0" axis="axisCol" fieldPosition="0">
        <references count="1">
          <reference field="4294967294" count="1" selected="0">
            <x v="0"/>
          </reference>
        </references>
      </pivotArea>
    </format>
    <format dxfId="61">
      <pivotArea field="12" dataOnly="0" labelOnly="1" grandCol="1" outline="0" axis="axisCol" fieldPosition="0">
        <references count="1">
          <reference field="4294967294" count="1" selected="0">
            <x v="1"/>
          </reference>
        </references>
      </pivotArea>
    </format>
    <format dxfId="60">
      <pivotArea dataOnly="0" labelOnly="1" outline="0" fieldPosition="0">
        <references count="2">
          <reference field="4294967294" count="2">
            <x v="0"/>
            <x v="1"/>
          </reference>
          <reference field="12" count="1" selected="0">
            <x v="0"/>
          </reference>
        </references>
      </pivotArea>
    </format>
    <format dxfId="59">
      <pivotArea dataOnly="0" labelOnly="1" outline="0" fieldPosition="0">
        <references count="2">
          <reference field="4294967294" count="2">
            <x v="0"/>
            <x v="1"/>
          </reference>
          <reference field="1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D916AEA-2DE9-4B5E-8398-B5DBF49586E4}" name="User Statistics" cacheId="0" applyNumberFormats="0" applyBorderFormats="0" applyFontFormats="0" applyPatternFormats="0" applyAlignmentFormats="0" applyWidthHeightFormats="1" dataCaption="Values" updatedVersion="6" minRefreshableVersion="3" useAutoFormatting="1" itemPrintTitles="1" mergeItem="1" createdVersion="6" indent="0" outline="1" outlineData="1" multipleFieldFilters="0">
  <location ref="J2:N7" firstHeaderRow="1" firstDataRow="3" firstDataCol="1"/>
  <pivotFields count="16">
    <pivotField dataField="1" showAll="0"/>
    <pivotField showAll="0"/>
    <pivotField showAll="0"/>
    <pivotField axis="axisRow" showAll="0">
      <items count="17">
        <item x="13"/>
        <item h="1" m="1" x="14"/>
        <item h="1" m="1" x="15"/>
        <item h="1" x="0"/>
        <item h="1" x="1"/>
        <item h="1" x="2"/>
        <item h="1" x="3"/>
        <item h="1" x="4"/>
        <item h="1" x="5"/>
        <item h="1" x="6"/>
        <item h="1" x="7"/>
        <item h="1" x="8"/>
        <item h="1" x="9"/>
        <item h="1" x="10"/>
        <item h="1" x="11"/>
        <item h="1" x="12"/>
        <item t="default"/>
      </items>
    </pivotField>
    <pivotField showAll="0"/>
    <pivotField showAll="0"/>
    <pivotField showAll="0"/>
    <pivotField showAll="0"/>
    <pivotField showAll="0"/>
    <pivotField axis="axisRow" showAll="0">
      <items count="6">
        <item x="3"/>
        <item x="0"/>
        <item x="1"/>
        <item x="2"/>
        <item x="4"/>
        <item t="default"/>
      </items>
    </pivotField>
    <pivotField showAll="0"/>
    <pivotField showAll="0"/>
    <pivotField showAll="0"/>
    <pivotField showAll="0"/>
    <pivotField axis="axisCol" showAll="0">
      <items count="4">
        <item n="Active" x="0"/>
        <item x="1"/>
        <item n="InActive" m="1" x="2"/>
        <item t="default"/>
      </items>
    </pivotField>
    <pivotField showAll="0"/>
  </pivotFields>
  <rowFields count="2">
    <field x="3"/>
    <field x="9"/>
  </rowFields>
  <rowItems count="3">
    <i>
      <x/>
    </i>
    <i r="1">
      <x v="4"/>
    </i>
    <i t="grand">
      <x/>
    </i>
  </rowItems>
  <colFields count="2">
    <field x="14"/>
    <field x="-2"/>
  </colFields>
  <colItems count="4">
    <i>
      <x v="1"/>
      <x/>
    </i>
    <i r="1" i="1">
      <x v="1"/>
    </i>
    <i t="grand">
      <x/>
    </i>
    <i t="grand" i="1">
      <x/>
    </i>
  </colItems>
  <dataFields count="2">
    <dataField name="%" fld="0" subtotal="count" showDataAs="percentOfTotal" baseField="3" baseItem="0" numFmtId="10"/>
    <dataField name="Total Users" fld="0" subtotal="count" baseField="3" baseItem="0"/>
  </dataFields>
  <formats count="3">
    <format dxfId="71">
      <pivotArea dataOnly="0" labelOnly="1" outline="0" fieldPosition="0">
        <references count="1">
          <reference field="4294967294" count="1">
            <x v="0"/>
          </reference>
        </references>
      </pivotArea>
    </format>
    <format dxfId="70">
      <pivotArea field="3" type="button" dataOnly="0" labelOnly="1" outline="0" axis="axisRow" fieldPosition="0"/>
    </format>
    <format dxfId="69">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ettings"/>
  <dimension ref="A1:H29"/>
  <sheetViews>
    <sheetView workbookViewId="0">
      <pane xSplit="8" ySplit="29" topLeftCell="XFD1048576" activePane="bottomRight" state="frozen"/>
      <selection pane="topRight" activeCell="I1" sqref="I1"/>
      <selection pane="bottomLeft" activeCell="A30" sqref="A30"/>
      <selection pane="bottomRight" activeCell="A30" sqref="A30:XFD1048576"/>
    </sheetView>
  </sheetViews>
  <sheetFormatPr defaultColWidth="0" defaultRowHeight="14.6" zeroHeight="1" x14ac:dyDescent="0.4"/>
  <cols>
    <col min="1" max="1" width="22.3046875" style="1" bestFit="1" customWidth="1"/>
    <col min="2" max="2" width="48" style="1" bestFit="1" customWidth="1"/>
    <col min="3" max="4" width="8.84375" style="1" customWidth="1"/>
    <col min="5" max="5" width="8.84375" customWidth="1"/>
    <col min="6" max="6" width="26.07421875" style="1" bestFit="1" customWidth="1"/>
    <col min="7" max="7" width="21.84375" style="1" bestFit="1" customWidth="1"/>
    <col min="8" max="8" width="2.84375" style="1" bestFit="1" customWidth="1"/>
    <col min="9" max="16384" width="8.84375" style="1" hidden="1"/>
  </cols>
  <sheetData>
    <row r="1" spans="1:8" s="6" customFormat="1" x14ac:dyDescent="0.4">
      <c r="A1" s="6" t="s">
        <v>0</v>
      </c>
      <c r="B1" s="8" t="s">
        <v>5</v>
      </c>
      <c r="D1" s="6" t="s">
        <v>44</v>
      </c>
      <c r="F1" s="6" t="s">
        <v>119</v>
      </c>
    </row>
    <row r="2" spans="1:8" s="6" customFormat="1" x14ac:dyDescent="0.4">
      <c r="A2" s="14"/>
      <c r="B2" s="6" t="s">
        <v>6</v>
      </c>
      <c r="D2" s="29" t="s">
        <v>45</v>
      </c>
      <c r="F2" s="74" t="s">
        <v>109</v>
      </c>
      <c r="G2" s="29" t="s">
        <v>148</v>
      </c>
      <c r="H2" s="29" t="s">
        <v>120</v>
      </c>
    </row>
    <row r="3" spans="1:8" x14ac:dyDescent="0.4">
      <c r="A3" s="6" t="s">
        <v>1</v>
      </c>
      <c r="B3" s="17"/>
      <c r="D3" s="29" t="s">
        <v>46</v>
      </c>
      <c r="F3" s="74" t="s">
        <v>92</v>
      </c>
      <c r="G3" s="1" t="s">
        <v>157</v>
      </c>
      <c r="H3" s="1" t="s">
        <v>121</v>
      </c>
    </row>
    <row r="4" spans="1:8" x14ac:dyDescent="0.4">
      <c r="A4" s="6" t="s">
        <v>8</v>
      </c>
      <c r="B4" s="15"/>
      <c r="F4" s="74" t="s">
        <v>110</v>
      </c>
      <c r="G4" s="1" t="s">
        <v>158</v>
      </c>
      <c r="H4" s="1" t="s">
        <v>122</v>
      </c>
    </row>
    <row r="5" spans="1:8" x14ac:dyDescent="0.4">
      <c r="A5" s="6" t="s">
        <v>9</v>
      </c>
      <c r="B5" s="15"/>
      <c r="F5" s="74" t="s">
        <v>95</v>
      </c>
      <c r="G5" s="1" t="s">
        <v>159</v>
      </c>
      <c r="H5" s="1" t="s">
        <v>123</v>
      </c>
    </row>
    <row r="6" spans="1:8" x14ac:dyDescent="0.4">
      <c r="A6" s="6" t="s">
        <v>2</v>
      </c>
      <c r="B6" s="28"/>
      <c r="F6" s="75" t="s">
        <v>104</v>
      </c>
      <c r="G6" s="1" t="s">
        <v>160</v>
      </c>
      <c r="H6" s="1" t="s">
        <v>124</v>
      </c>
    </row>
    <row r="7" spans="1:8" x14ac:dyDescent="0.4">
      <c r="A7" s="6" t="s">
        <v>3</v>
      </c>
      <c r="B7" s="16"/>
      <c r="F7" s="75" t="s">
        <v>94</v>
      </c>
      <c r="G7" s="1" t="s">
        <v>149</v>
      </c>
      <c r="H7" s="1" t="s">
        <v>125</v>
      </c>
    </row>
    <row r="8" spans="1:8" x14ac:dyDescent="0.4">
      <c r="A8" s="6" t="s">
        <v>4</v>
      </c>
      <c r="F8" s="75" t="s">
        <v>69</v>
      </c>
      <c r="G8" s="1" t="s">
        <v>150</v>
      </c>
      <c r="H8" s="1" t="s">
        <v>126</v>
      </c>
    </row>
    <row r="9" spans="1:8" x14ac:dyDescent="0.4">
      <c r="A9" s="6" t="s">
        <v>36</v>
      </c>
      <c r="B9" s="12"/>
      <c r="F9" s="75" t="s">
        <v>98</v>
      </c>
      <c r="G9" s="1" t="s">
        <v>151</v>
      </c>
      <c r="H9" s="1" t="s">
        <v>127</v>
      </c>
    </row>
    <row r="10" spans="1:8" x14ac:dyDescent="0.4">
      <c r="A10" s="6" t="s">
        <v>37</v>
      </c>
      <c r="F10" s="75" t="s">
        <v>93</v>
      </c>
      <c r="G10" s="1" t="s">
        <v>161</v>
      </c>
      <c r="H10" s="1" t="s">
        <v>128</v>
      </c>
    </row>
    <row r="11" spans="1:8" x14ac:dyDescent="0.4">
      <c r="A11" s="6" t="s">
        <v>70</v>
      </c>
      <c r="B11" s="62"/>
      <c r="F11" s="75" t="s">
        <v>114</v>
      </c>
      <c r="G11" s="1" t="s">
        <v>162</v>
      </c>
      <c r="H11" s="1" t="s">
        <v>129</v>
      </c>
    </row>
    <row r="12" spans="1:8" x14ac:dyDescent="0.4">
      <c r="F12" s="75" t="s">
        <v>96</v>
      </c>
      <c r="G12" s="1" t="s">
        <v>163</v>
      </c>
      <c r="H12" s="1" t="s">
        <v>130</v>
      </c>
    </row>
    <row r="13" spans="1:8" x14ac:dyDescent="0.4">
      <c r="F13" s="75" t="s">
        <v>118</v>
      </c>
      <c r="G13" s="1" t="s">
        <v>175</v>
      </c>
      <c r="H13" s="1" t="s">
        <v>131</v>
      </c>
    </row>
    <row r="14" spans="1:8" x14ac:dyDescent="0.4">
      <c r="F14" s="75" t="s">
        <v>97</v>
      </c>
      <c r="G14" s="1" t="s">
        <v>164</v>
      </c>
      <c r="H14" s="1" t="s">
        <v>132</v>
      </c>
    </row>
    <row r="15" spans="1:8" x14ac:dyDescent="0.4">
      <c r="F15" s="75" t="s">
        <v>101</v>
      </c>
      <c r="G15" s="1" t="s">
        <v>165</v>
      </c>
      <c r="H15" s="1" t="s">
        <v>133</v>
      </c>
    </row>
    <row r="16" spans="1:8" x14ac:dyDescent="0.4">
      <c r="F16" s="75" t="s">
        <v>102</v>
      </c>
      <c r="G16" s="1" t="s">
        <v>166</v>
      </c>
      <c r="H16" s="1" t="s">
        <v>134</v>
      </c>
    </row>
    <row r="17" spans="6:8" x14ac:dyDescent="0.4">
      <c r="F17" s="75" t="s">
        <v>117</v>
      </c>
      <c r="G17" s="1" t="s">
        <v>167</v>
      </c>
      <c r="H17" s="1" t="s">
        <v>135</v>
      </c>
    </row>
    <row r="18" spans="6:8" x14ac:dyDescent="0.4">
      <c r="F18" s="75" t="s">
        <v>112</v>
      </c>
      <c r="G18" s="1" t="s">
        <v>168</v>
      </c>
      <c r="H18" s="1" t="s">
        <v>136</v>
      </c>
    </row>
    <row r="19" spans="6:8" x14ac:dyDescent="0.4">
      <c r="F19" s="75" t="s">
        <v>105</v>
      </c>
      <c r="G19" s="1" t="s">
        <v>169</v>
      </c>
      <c r="H19" s="1" t="s">
        <v>137</v>
      </c>
    </row>
    <row r="20" spans="6:8" x14ac:dyDescent="0.4">
      <c r="F20" s="75" t="s">
        <v>116</v>
      </c>
      <c r="G20" s="1" t="s">
        <v>174</v>
      </c>
      <c r="H20" s="1" t="s">
        <v>138</v>
      </c>
    </row>
    <row r="21" spans="6:8" x14ac:dyDescent="0.4">
      <c r="F21" s="75" t="s">
        <v>103</v>
      </c>
      <c r="G21" s="1" t="s">
        <v>153</v>
      </c>
      <c r="H21" s="1" t="s">
        <v>139</v>
      </c>
    </row>
    <row r="22" spans="6:8" x14ac:dyDescent="0.4">
      <c r="F22" s="75" t="s">
        <v>113</v>
      </c>
      <c r="G22" s="1" t="s">
        <v>170</v>
      </c>
      <c r="H22" s="1" t="s">
        <v>140</v>
      </c>
    </row>
    <row r="23" spans="6:8" x14ac:dyDescent="0.4">
      <c r="F23" s="75" t="s">
        <v>100</v>
      </c>
      <c r="G23" s="1" t="s">
        <v>171</v>
      </c>
      <c r="H23" s="1" t="s">
        <v>141</v>
      </c>
    </row>
    <row r="24" spans="6:8" x14ac:dyDescent="0.4">
      <c r="F24" s="75" t="s">
        <v>99</v>
      </c>
      <c r="G24" s="1" t="s">
        <v>154</v>
      </c>
      <c r="H24" s="1" t="s">
        <v>142</v>
      </c>
    </row>
    <row r="25" spans="6:8" x14ac:dyDescent="0.4">
      <c r="F25" s="75" t="s">
        <v>111</v>
      </c>
      <c r="G25" s="1" t="s">
        <v>172</v>
      </c>
      <c r="H25" s="1" t="s">
        <v>143</v>
      </c>
    </row>
    <row r="26" spans="6:8" x14ac:dyDescent="0.4">
      <c r="F26" s="75" t="s">
        <v>108</v>
      </c>
      <c r="G26" s="1" t="s">
        <v>173</v>
      </c>
      <c r="H26" s="1" t="s">
        <v>144</v>
      </c>
    </row>
    <row r="27" spans="6:8" x14ac:dyDescent="0.4">
      <c r="F27" s="75" t="s">
        <v>115</v>
      </c>
      <c r="G27" s="1" t="s">
        <v>152</v>
      </c>
      <c r="H27" s="1" t="s">
        <v>145</v>
      </c>
    </row>
    <row r="28" spans="6:8" x14ac:dyDescent="0.4">
      <c r="F28" s="75" t="s">
        <v>106</v>
      </c>
      <c r="G28" s="1" t="s">
        <v>155</v>
      </c>
      <c r="H28" s="1" t="s">
        <v>146</v>
      </c>
    </row>
    <row r="29" spans="6:8" x14ac:dyDescent="0.4">
      <c r="F29" s="75" t="s">
        <v>107</v>
      </c>
      <c r="G29" s="1" t="s">
        <v>156</v>
      </c>
      <c r="H29" s="1" t="s">
        <v>147</v>
      </c>
    </row>
  </sheetData>
  <dataConsolidate/>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tart"/>
  <dimension ref="A1:L18"/>
  <sheetViews>
    <sheetView tabSelected="1" zoomScaleNormal="100" workbookViewId="0">
      <pane xSplit="11" ySplit="18" topLeftCell="XFD1048576" activePane="bottomRight" state="frozen"/>
      <selection pane="topRight" activeCell="L1" sqref="L1"/>
      <selection pane="bottomLeft" activeCell="A11" sqref="A11"/>
      <selection pane="bottomRight" activeCell="B4" sqref="B4"/>
    </sheetView>
  </sheetViews>
  <sheetFormatPr defaultColWidth="0" defaultRowHeight="14.6" zeroHeight="1" x14ac:dyDescent="0.4"/>
  <cols>
    <col min="1" max="1" width="21.15234375" style="5" customWidth="1"/>
    <col min="2" max="2" width="20.53515625" style="5" bestFit="1" customWidth="1"/>
    <col min="3" max="3" width="5.69140625" style="5" customWidth="1"/>
    <col min="4" max="5" width="12.69140625" style="5" customWidth="1"/>
    <col min="6" max="6" width="5.69140625" style="5" customWidth="1"/>
    <col min="7" max="8" width="12.69140625" style="5" customWidth="1"/>
    <col min="9" max="9" width="5.69140625" style="5" customWidth="1"/>
    <col min="10" max="11" width="12.69140625" style="5" customWidth="1"/>
    <col min="12" max="12" width="15.69140625" style="5" hidden="1" customWidth="1"/>
    <col min="13" max="16384" width="8.84375" style="5" hidden="1"/>
  </cols>
  <sheetData>
    <row r="1" spans="1:12" s="2" customFormat="1" x14ac:dyDescent="0.4">
      <c r="A1" s="83" t="s">
        <v>7</v>
      </c>
      <c r="B1" s="84"/>
      <c r="C1" s="84"/>
      <c r="D1" s="84"/>
      <c r="E1" s="84"/>
      <c r="F1" s="84"/>
      <c r="G1" s="84"/>
      <c r="H1" s="84"/>
      <c r="I1" s="84"/>
      <c r="J1" s="84"/>
      <c r="K1" s="84"/>
    </row>
    <row r="2" spans="1:12" s="2" customFormat="1" x14ac:dyDescent="0.4">
      <c r="A2" s="83"/>
      <c r="B2" s="84"/>
      <c r="C2" s="84"/>
      <c r="D2" s="84"/>
      <c r="E2" s="84"/>
      <c r="F2" s="84"/>
      <c r="G2" s="84"/>
      <c r="H2" s="84"/>
      <c r="I2" s="84"/>
      <c r="J2" s="84"/>
      <c r="K2" s="84"/>
    </row>
    <row r="3" spans="1:12" s="2" customFormat="1" x14ac:dyDescent="0.4">
      <c r="A3" s="83"/>
      <c r="B3" s="84"/>
      <c r="C3" s="84"/>
      <c r="D3" s="84"/>
      <c r="E3" s="84"/>
      <c r="F3" s="84"/>
      <c r="G3" s="84"/>
      <c r="H3" s="84"/>
      <c r="I3" s="84"/>
      <c r="J3" s="84"/>
      <c r="K3" s="84"/>
    </row>
    <row r="4" spans="1:12" s="3" customFormat="1" x14ac:dyDescent="0.4">
      <c r="A4" s="81" t="s">
        <v>38</v>
      </c>
      <c r="B4" s="82">
        <v>253423</v>
      </c>
    </row>
    <row r="5" spans="1:12" s="3" customFormat="1" x14ac:dyDescent="0.4">
      <c r="A5" s="11"/>
      <c r="B5" s="10"/>
    </row>
    <row r="6" spans="1:12" s="7" customFormat="1" x14ac:dyDescent="0.4">
      <c r="A6" s="18"/>
      <c r="B6" s="19"/>
      <c r="C6" s="20"/>
      <c r="D6" s="18"/>
      <c r="E6" s="20"/>
      <c r="F6" s="4"/>
      <c r="G6" s="4"/>
      <c r="H6" s="4"/>
      <c r="I6" s="4"/>
      <c r="J6" s="4"/>
      <c r="K6" s="4"/>
      <c r="L6" s="4"/>
    </row>
    <row r="7" spans="1:12" x14ac:dyDescent="0.4">
      <c r="A7" s="21"/>
      <c r="B7" s="19"/>
      <c r="C7" s="22"/>
      <c r="D7" s="26"/>
      <c r="E7" s="27"/>
    </row>
    <row r="8" spans="1:12" x14ac:dyDescent="0.4">
      <c r="A8" s="21"/>
      <c r="B8" s="19"/>
      <c r="C8" s="22"/>
      <c r="D8" s="26"/>
      <c r="E8" s="27"/>
    </row>
    <row r="9" spans="1:12" x14ac:dyDescent="0.4">
      <c r="A9" s="21"/>
      <c r="B9" s="19"/>
      <c r="C9" s="23"/>
      <c r="D9" s="21"/>
      <c r="E9" s="19"/>
    </row>
    <row r="10" spans="1:12" x14ac:dyDescent="0.4">
      <c r="A10" s="21"/>
      <c r="B10" s="19"/>
      <c r="C10" s="23"/>
      <c r="D10" s="21"/>
      <c r="E10" s="19"/>
    </row>
    <row r="11" spans="1:12" x14ac:dyDescent="0.4">
      <c r="A11" s="40"/>
      <c r="D11" s="40"/>
    </row>
    <row r="12" spans="1:12" x14ac:dyDescent="0.4">
      <c r="A12" s="40"/>
      <c r="D12" s="40"/>
    </row>
    <row r="13" spans="1:12" x14ac:dyDescent="0.4">
      <c r="A13" s="40"/>
      <c r="D13" s="40"/>
    </row>
    <row r="14" spans="1:12" x14ac:dyDescent="0.4">
      <c r="A14" s="40" t="s">
        <v>48</v>
      </c>
      <c r="B14" s="5" t="s">
        <v>49</v>
      </c>
      <c r="C14" s="5" t="s">
        <v>50</v>
      </c>
      <c r="D14" s="40"/>
    </row>
    <row r="15" spans="1:12" x14ac:dyDescent="0.4">
      <c r="B15" s="5" t="s">
        <v>51</v>
      </c>
      <c r="C15" s="5" t="s">
        <v>52</v>
      </c>
      <c r="D15" s="40"/>
    </row>
    <row r="16" spans="1:12" x14ac:dyDescent="0.4">
      <c r="A16" s="40"/>
      <c r="B16" s="5" t="s">
        <v>53</v>
      </c>
      <c r="C16" s="5" t="s">
        <v>54</v>
      </c>
      <c r="D16" s="40"/>
    </row>
    <row r="17" spans="1:4" x14ac:dyDescent="0.4">
      <c r="A17" s="40"/>
      <c r="B17" s="5" t="s">
        <v>71</v>
      </c>
      <c r="C17" s="5" t="s">
        <v>72</v>
      </c>
      <c r="D17" s="40"/>
    </row>
    <row r="18" spans="1:4" x14ac:dyDescent="0.4">
      <c r="B18" s="5" t="s">
        <v>55</v>
      </c>
      <c r="C18" s="5" t="s">
        <v>73</v>
      </c>
    </row>
  </sheetData>
  <sheetProtection sheet="1" objects="1" scenarios="1" sort="0" autoFilter="0"/>
  <dataConsolidate/>
  <mergeCells count="4">
    <mergeCell ref="A1:A3"/>
    <mergeCell ref="B1:K1"/>
    <mergeCell ref="B2:K2"/>
    <mergeCell ref="B3:K3"/>
  </mergeCells>
  <conditionalFormatting sqref="A6:XFD6">
    <cfRule type="dataBar" priority="8">
      <dataBar>
        <cfvo type="num" val="0"/>
        <cfvo type="num" val="1"/>
        <color rgb="FF92D050"/>
      </dataBar>
      <extLst>
        <ext xmlns:x14="http://schemas.microsoft.com/office/spreadsheetml/2009/9/main" uri="{B025F937-C7B1-47D3-B67F-A62EFF666E3E}">
          <x14:id>{BA47F4E7-35CA-4403-B345-DAD5B8398D26}</x14:id>
        </ext>
      </extLst>
    </cfRule>
  </conditionalFormatting>
  <pageMargins left="0.25" right="0.25" top="0.75" bottom="0.75" header="0.3" footer="0.3"/>
  <pageSetup paperSize="9" scale="79" pageOrder="overThenDown"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DownloadAll">
                <anchor moveWithCells="1" sizeWithCells="1">
                  <from>
                    <xdr:col>2</xdr:col>
                    <xdr:colOff>979714</xdr:colOff>
                    <xdr:row>0</xdr:row>
                    <xdr:rowOff>125186</xdr:rowOff>
                  </from>
                  <to>
                    <xdr:col>4</xdr:col>
                    <xdr:colOff>887186</xdr:colOff>
                    <xdr:row>2</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UploadAll">
                <anchor moveWithCells="1" sizeWithCells="1">
                  <from>
                    <xdr:col>5</xdr:col>
                    <xdr:colOff>408214</xdr:colOff>
                    <xdr:row>0</xdr:row>
                    <xdr:rowOff>114300</xdr:rowOff>
                  </from>
                  <to>
                    <xdr:col>7</xdr:col>
                    <xdr:colOff>1094014</xdr:colOff>
                    <xdr:row>2</xdr:row>
                    <xdr:rowOff>65314</xdr:rowOff>
                  </to>
                </anchor>
              </controlPr>
            </control>
          </mc:Choice>
        </mc:AlternateContent>
        <mc:AlternateContent xmlns:mc="http://schemas.openxmlformats.org/markup-compatibility/2006">
          <mc:Choice Requires="x14">
            <control shapeId="1027" r:id="rId6" name="Button 3">
              <controlPr defaultSize="0" print="0" autoFill="0" autoPict="0" macro="[0]!ClearAll">
                <anchor moveWithCells="1" sizeWithCells="1">
                  <from>
                    <xdr:col>8</xdr:col>
                    <xdr:colOff>391886</xdr:colOff>
                    <xdr:row>0</xdr:row>
                    <xdr:rowOff>125186</xdr:rowOff>
                  </from>
                  <to>
                    <xdr:col>10</xdr:col>
                    <xdr:colOff>887186</xdr:colOff>
                    <xdr:row>2</xdr:row>
                    <xdr:rowOff>76200</xdr:rowOff>
                  </to>
                </anchor>
              </controlPr>
            </control>
          </mc:Choice>
        </mc:AlternateContent>
        <mc:AlternateContent xmlns:mc="http://schemas.openxmlformats.org/markup-compatibility/2006">
          <mc:Choice Requires="x14">
            <control shapeId="1029" r:id="rId7" name="ReverseSortCheckbox">
              <controlPr defaultSize="0" autoFill="0" autoLine="0" autoPict="0" macro="[0]!SortData">
                <anchor moveWithCells="1">
                  <from>
                    <xdr:col>3</xdr:col>
                    <xdr:colOff>54429</xdr:colOff>
                    <xdr:row>3</xdr:row>
                    <xdr:rowOff>16329</xdr:rowOff>
                  </from>
                  <to>
                    <xdr:col>3</xdr:col>
                    <xdr:colOff>832757</xdr:colOff>
                    <xdr:row>3</xdr:row>
                    <xdr:rowOff>179614</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BA47F4E7-35CA-4403-B345-DAD5B8398D26}">
            <x14:dataBar minLength="0" maxLength="100" border="1">
              <x14:cfvo type="num">
                <xm:f>0</xm:f>
              </x14:cfvo>
              <x14:cfvo type="num">
                <xm:f>1</xm:f>
              </x14:cfvo>
              <x14:borderColor rgb="FF92D050"/>
              <x14:negativeFillColor rgb="FFFF0000"/>
              <x14:axisColor rgb="FF000000"/>
            </x14:dataBar>
          </x14:cfRule>
          <xm:sqref>A6:XFD6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4DA7A-3BBE-4330-8198-C5AD4F3F19B7}">
  <sheetPr codeName="Stats"/>
  <dimension ref="A1:Y35"/>
  <sheetViews>
    <sheetView zoomScale="70" zoomScaleNormal="70" workbookViewId="0">
      <selection sqref="A1:E1"/>
    </sheetView>
  </sheetViews>
  <sheetFormatPr defaultRowHeight="14.6" x14ac:dyDescent="0.4"/>
  <cols>
    <col min="1" max="1" width="29" bestFit="1" customWidth="1"/>
    <col min="2" max="2" width="18.15234375" bestFit="1" customWidth="1"/>
    <col min="3" max="3" width="14.84375" bestFit="1" customWidth="1"/>
    <col min="4" max="4" width="7.84375" bestFit="1" customWidth="1"/>
    <col min="5" max="5" width="19.61328125" bestFit="1" customWidth="1"/>
    <col min="6" max="6" width="7.84375" bestFit="1" customWidth="1"/>
    <col min="7" max="7" width="19.61328125" bestFit="1" customWidth="1"/>
    <col min="8" max="9" width="6.84375" bestFit="1" customWidth="1"/>
    <col min="10" max="10" width="15.3046875" bestFit="1" customWidth="1"/>
    <col min="11" max="11" width="18.15234375" bestFit="1" customWidth="1"/>
    <col min="12" max="12" width="10.15234375" bestFit="1" customWidth="1"/>
    <col min="13" max="13" width="7.23046875" bestFit="1" customWidth="1"/>
    <col min="14" max="14" width="14.921875" bestFit="1" customWidth="1"/>
    <col min="15" max="15" width="7.84375" bestFit="1" customWidth="1"/>
    <col min="16" max="16" width="14.84375" bestFit="1" customWidth="1"/>
    <col min="17" max="18" width="6.84375" bestFit="1" customWidth="1"/>
    <col min="19" max="20" width="18.15234375" bestFit="1" customWidth="1"/>
    <col min="21" max="21" width="5.84375" bestFit="1" customWidth="1"/>
    <col min="22" max="22" width="6.84375" bestFit="1" customWidth="1"/>
    <col min="23" max="23" width="5.84375" bestFit="1" customWidth="1"/>
    <col min="24" max="24" width="7.84375" bestFit="1" customWidth="1"/>
    <col min="25" max="25" width="10.53515625" bestFit="1" customWidth="1"/>
  </cols>
  <sheetData>
    <row r="1" spans="1:25" ht="19.75" x14ac:dyDescent="0.45">
      <c r="A1" s="87" t="s">
        <v>89</v>
      </c>
      <c r="B1" s="87"/>
      <c r="C1" s="87"/>
      <c r="D1" s="87"/>
      <c r="E1" s="87"/>
      <c r="J1" s="87" t="s">
        <v>88</v>
      </c>
      <c r="K1" s="87"/>
      <c r="L1" s="87"/>
      <c r="M1" s="87"/>
      <c r="N1" s="87"/>
      <c r="O1" s="87"/>
      <c r="P1" s="87"/>
      <c r="S1" s="87" t="s">
        <v>86</v>
      </c>
      <c r="T1" s="87"/>
      <c r="U1" s="87"/>
      <c r="V1" s="87"/>
      <c r="W1" s="87"/>
      <c r="X1" s="87"/>
      <c r="Y1" s="87"/>
    </row>
    <row r="2" spans="1:25" x14ac:dyDescent="0.4">
      <c r="A2" s="79"/>
      <c r="B2" s="71" t="s">
        <v>78</v>
      </c>
      <c r="C2" s="79"/>
      <c r="D2" s="79"/>
      <c r="E2" s="79"/>
      <c r="J2" s="79"/>
      <c r="K2" s="71" t="s">
        <v>78</v>
      </c>
      <c r="L2" s="79"/>
      <c r="M2" s="79"/>
      <c r="N2" s="79"/>
      <c r="S2" s="79"/>
      <c r="T2" s="71" t="s">
        <v>78</v>
      </c>
      <c r="U2" s="79"/>
      <c r="V2" s="79"/>
      <c r="W2" s="79"/>
      <c r="X2" s="79"/>
      <c r="Y2" s="79"/>
    </row>
    <row r="3" spans="1:25" x14ac:dyDescent="0.4">
      <c r="A3" s="79"/>
      <c r="B3" s="85" t="s">
        <v>34</v>
      </c>
      <c r="C3" s="88"/>
      <c r="D3" s="85" t="s">
        <v>81</v>
      </c>
      <c r="E3" s="85" t="s">
        <v>83</v>
      </c>
      <c r="J3" s="79"/>
      <c r="K3" s="85" t="s">
        <v>90</v>
      </c>
      <c r="L3" s="88"/>
      <c r="M3" s="85" t="s">
        <v>81</v>
      </c>
      <c r="N3" s="85" t="s">
        <v>84</v>
      </c>
      <c r="S3" s="79"/>
      <c r="T3" s="85" t="s">
        <v>516</v>
      </c>
      <c r="U3" s="86"/>
      <c r="V3" s="85" t="s">
        <v>515</v>
      </c>
      <c r="W3" s="86"/>
      <c r="X3" s="85" t="s">
        <v>81</v>
      </c>
      <c r="Y3" s="85" t="s">
        <v>82</v>
      </c>
    </row>
    <row r="4" spans="1:25" x14ac:dyDescent="0.4">
      <c r="A4" s="72" t="s">
        <v>76</v>
      </c>
      <c r="B4" s="78" t="s">
        <v>80</v>
      </c>
      <c r="C4" s="78" t="s">
        <v>208</v>
      </c>
      <c r="D4" s="88"/>
      <c r="E4" s="88"/>
      <c r="J4" s="72" t="s">
        <v>76</v>
      </c>
      <c r="K4" s="78" t="s">
        <v>80</v>
      </c>
      <c r="L4" s="78" t="s">
        <v>79</v>
      </c>
      <c r="M4" s="88"/>
      <c r="N4" s="88"/>
      <c r="S4" s="71" t="s">
        <v>76</v>
      </c>
      <c r="T4" s="78" t="s">
        <v>80</v>
      </c>
      <c r="U4" s="78" t="s">
        <v>209</v>
      </c>
      <c r="V4" s="78" t="s">
        <v>80</v>
      </c>
      <c r="W4" s="78" t="s">
        <v>209</v>
      </c>
      <c r="X4" s="86"/>
      <c r="Y4" s="86"/>
    </row>
    <row r="5" spans="1:25" x14ac:dyDescent="0.4">
      <c r="A5" s="68" t="s">
        <v>58</v>
      </c>
      <c r="B5" s="70">
        <v>0.36363636363636365</v>
      </c>
      <c r="C5" s="69">
        <v>4</v>
      </c>
      <c r="D5" s="70">
        <v>0.36363636363636365</v>
      </c>
      <c r="E5" s="69">
        <v>4</v>
      </c>
      <c r="J5" s="68" t="s">
        <v>90</v>
      </c>
      <c r="K5" s="70" t="e">
        <v>#DIV/0!</v>
      </c>
      <c r="L5" s="69"/>
      <c r="M5" s="70" t="e">
        <v>#DIV/0!</v>
      </c>
      <c r="N5" s="69"/>
      <c r="S5" s="68" t="s">
        <v>69</v>
      </c>
      <c r="T5" s="70">
        <v>0.18181818181818182</v>
      </c>
      <c r="U5" s="69">
        <v>2</v>
      </c>
      <c r="V5" s="70">
        <v>9.0909090909090912E-2</v>
      </c>
      <c r="W5" s="69">
        <v>1</v>
      </c>
      <c r="X5" s="70">
        <v>0.27272727272727271</v>
      </c>
      <c r="Y5" s="69">
        <v>3</v>
      </c>
    </row>
    <row r="6" spans="1:25" x14ac:dyDescent="0.4">
      <c r="A6" s="73" t="s">
        <v>228</v>
      </c>
      <c r="B6" s="70">
        <v>9.0909090909090912E-2</v>
      </c>
      <c r="C6" s="69">
        <v>1</v>
      </c>
      <c r="D6" s="70">
        <v>9.0909090909090912E-2</v>
      </c>
      <c r="E6" s="69">
        <v>1</v>
      </c>
      <c r="J6" s="73" t="s">
        <v>90</v>
      </c>
      <c r="K6" s="70" t="e">
        <v>#DIV/0!</v>
      </c>
      <c r="L6" s="69"/>
      <c r="M6" s="70" t="e">
        <v>#DIV/0!</v>
      </c>
      <c r="N6" s="69"/>
      <c r="S6" s="68" t="s">
        <v>517</v>
      </c>
      <c r="T6" s="70">
        <v>9.0909090909090912E-2</v>
      </c>
      <c r="U6" s="69">
        <v>1</v>
      </c>
      <c r="V6" s="70">
        <v>0.18181818181818182</v>
      </c>
      <c r="W6" s="69">
        <v>2</v>
      </c>
      <c r="X6" s="70">
        <v>0.27272727272727271</v>
      </c>
      <c r="Y6" s="69">
        <v>3</v>
      </c>
    </row>
    <row r="7" spans="1:25" x14ac:dyDescent="0.4">
      <c r="A7" s="73" t="s">
        <v>233</v>
      </c>
      <c r="B7" s="70">
        <v>9.0909090909090912E-2</v>
      </c>
      <c r="C7" s="69">
        <v>1</v>
      </c>
      <c r="D7" s="70">
        <v>9.0909090909090912E-2</v>
      </c>
      <c r="E7" s="69">
        <v>1</v>
      </c>
      <c r="J7" s="68" t="s">
        <v>77</v>
      </c>
      <c r="K7" s="70" t="e">
        <v>#DIV/0!</v>
      </c>
      <c r="L7" s="69"/>
      <c r="M7" s="70" t="e">
        <v>#DIV/0!</v>
      </c>
      <c r="N7" s="69"/>
      <c r="S7" s="68" t="s">
        <v>60</v>
      </c>
      <c r="T7" s="70">
        <v>0.18181818181818182</v>
      </c>
      <c r="U7" s="69">
        <v>2</v>
      </c>
      <c r="V7" s="70">
        <v>0.18181818181818182</v>
      </c>
      <c r="W7" s="69">
        <v>2</v>
      </c>
      <c r="X7" s="70">
        <v>0.36363636363636365</v>
      </c>
      <c r="Y7" s="69">
        <v>4</v>
      </c>
    </row>
    <row r="8" spans="1:25" x14ac:dyDescent="0.4">
      <c r="A8" s="73" t="s">
        <v>217</v>
      </c>
      <c r="B8" s="70">
        <v>9.0909090909090912E-2</v>
      </c>
      <c r="C8" s="69">
        <v>1</v>
      </c>
      <c r="D8" s="70">
        <v>9.0909090909090912E-2</v>
      </c>
      <c r="E8" s="69">
        <v>1</v>
      </c>
      <c r="S8" s="68" t="s">
        <v>518</v>
      </c>
      <c r="T8" s="70">
        <v>0</v>
      </c>
      <c r="U8" s="69"/>
      <c r="V8" s="70">
        <v>9.0909090909090912E-2</v>
      </c>
      <c r="W8" s="69">
        <v>1</v>
      </c>
      <c r="X8" s="70">
        <v>9.0909090909090912E-2</v>
      </c>
      <c r="Y8" s="69">
        <v>1</v>
      </c>
    </row>
    <row r="9" spans="1:25" x14ac:dyDescent="0.4">
      <c r="A9" s="73" t="s">
        <v>251</v>
      </c>
      <c r="B9" s="70">
        <v>9.0909090909090912E-2</v>
      </c>
      <c r="C9" s="69">
        <v>1</v>
      </c>
      <c r="D9" s="70">
        <v>9.0909090909090912E-2</v>
      </c>
      <c r="E9" s="69">
        <v>1</v>
      </c>
      <c r="S9" s="68" t="s">
        <v>77</v>
      </c>
      <c r="T9" s="70">
        <v>0.45454545454545453</v>
      </c>
      <c r="U9" s="69">
        <v>5</v>
      </c>
      <c r="V9" s="70">
        <v>0.54545454545454541</v>
      </c>
      <c r="W9" s="69">
        <v>6</v>
      </c>
      <c r="X9" s="70">
        <v>1</v>
      </c>
      <c r="Y9" s="69">
        <v>11</v>
      </c>
    </row>
    <row r="10" spans="1:25" x14ac:dyDescent="0.4">
      <c r="A10" s="68" t="s">
        <v>244</v>
      </c>
      <c r="B10" s="70">
        <v>9.0909090909090912E-2</v>
      </c>
      <c r="C10" s="69">
        <v>1</v>
      </c>
      <c r="D10" s="70">
        <v>9.0909090909090912E-2</v>
      </c>
      <c r="E10" s="69">
        <v>1</v>
      </c>
    </row>
    <row r="11" spans="1:25" x14ac:dyDescent="0.4">
      <c r="A11" s="73" t="s">
        <v>242</v>
      </c>
      <c r="B11" s="70">
        <v>9.0909090909090912E-2</v>
      </c>
      <c r="C11" s="69">
        <v>1</v>
      </c>
      <c r="D11" s="70">
        <v>9.0909090909090912E-2</v>
      </c>
      <c r="E11" s="69">
        <v>1</v>
      </c>
    </row>
    <row r="12" spans="1:25" x14ac:dyDescent="0.4">
      <c r="A12" s="68" t="s">
        <v>246</v>
      </c>
      <c r="B12" s="70">
        <v>9.0909090909090912E-2</v>
      </c>
      <c r="C12" s="69">
        <v>1</v>
      </c>
      <c r="D12" s="70">
        <v>9.0909090909090912E-2</v>
      </c>
      <c r="E12" s="69">
        <v>1</v>
      </c>
    </row>
    <row r="13" spans="1:25" x14ac:dyDescent="0.4">
      <c r="A13" s="73" t="s">
        <v>245</v>
      </c>
      <c r="B13" s="70">
        <v>9.0909090909090912E-2</v>
      </c>
      <c r="C13" s="69">
        <v>1</v>
      </c>
      <c r="D13" s="70">
        <v>9.0909090909090912E-2</v>
      </c>
      <c r="E13" s="69">
        <v>1</v>
      </c>
    </row>
    <row r="14" spans="1:25" x14ac:dyDescent="0.4">
      <c r="A14" s="68" t="s">
        <v>212</v>
      </c>
      <c r="B14" s="70">
        <v>9.0909090909090912E-2</v>
      </c>
      <c r="C14" s="69">
        <v>1</v>
      </c>
      <c r="D14" s="70">
        <v>9.0909090909090912E-2</v>
      </c>
      <c r="E14" s="69">
        <v>1</v>
      </c>
    </row>
    <row r="15" spans="1:25" x14ac:dyDescent="0.4">
      <c r="A15" s="73" t="s">
        <v>211</v>
      </c>
      <c r="B15" s="70">
        <v>9.0909090909090912E-2</v>
      </c>
      <c r="C15" s="69">
        <v>1</v>
      </c>
      <c r="D15" s="70">
        <v>9.0909090909090912E-2</v>
      </c>
      <c r="E15" s="69">
        <v>1</v>
      </c>
    </row>
    <row r="16" spans="1:25" x14ac:dyDescent="0.4">
      <c r="A16" s="68" t="s">
        <v>216</v>
      </c>
      <c r="B16" s="70">
        <v>9.0909090909090912E-2</v>
      </c>
      <c r="C16" s="69">
        <v>1</v>
      </c>
      <c r="D16" s="70">
        <v>9.0909090909090912E-2</v>
      </c>
      <c r="E16" s="69">
        <v>1</v>
      </c>
    </row>
    <row r="17" spans="1:25" x14ac:dyDescent="0.4">
      <c r="A17" s="73" t="s">
        <v>215</v>
      </c>
      <c r="B17" s="70">
        <v>9.0909090909090912E-2</v>
      </c>
      <c r="C17" s="69">
        <v>1</v>
      </c>
      <c r="D17" s="70">
        <v>9.0909090909090912E-2</v>
      </c>
      <c r="E17" s="69">
        <v>1</v>
      </c>
    </row>
    <row r="18" spans="1:25" x14ac:dyDescent="0.4">
      <c r="A18" s="68" t="s">
        <v>241</v>
      </c>
      <c r="B18" s="70">
        <v>9.0909090909090912E-2</v>
      </c>
      <c r="C18" s="69">
        <v>1</v>
      </c>
      <c r="D18" s="70">
        <v>9.0909090909090912E-2</v>
      </c>
      <c r="E18" s="69">
        <v>1</v>
      </c>
    </row>
    <row r="19" spans="1:25" x14ac:dyDescent="0.4">
      <c r="A19" s="73" t="s">
        <v>238</v>
      </c>
      <c r="B19" s="70">
        <v>9.0909090909090912E-2</v>
      </c>
      <c r="C19" s="69">
        <v>1</v>
      </c>
      <c r="D19" s="70">
        <v>9.0909090909090912E-2</v>
      </c>
      <c r="E19" s="69">
        <v>1</v>
      </c>
    </row>
    <row r="20" spans="1:25" x14ac:dyDescent="0.4">
      <c r="A20" s="68" t="s">
        <v>214</v>
      </c>
      <c r="B20" s="70">
        <v>0.18181818181818182</v>
      </c>
      <c r="C20" s="69">
        <v>2</v>
      </c>
      <c r="D20" s="70">
        <v>0.18181818181818182</v>
      </c>
      <c r="E20" s="69">
        <v>2</v>
      </c>
    </row>
    <row r="21" spans="1:25" x14ac:dyDescent="0.4">
      <c r="A21" s="73" t="s">
        <v>222</v>
      </c>
      <c r="B21" s="70">
        <v>9.0909090909090912E-2</v>
      </c>
      <c r="C21" s="69">
        <v>1</v>
      </c>
      <c r="D21" s="70">
        <v>9.0909090909090912E-2</v>
      </c>
      <c r="E21" s="69">
        <v>1</v>
      </c>
    </row>
    <row r="22" spans="1:25" ht="19.75" x14ac:dyDescent="0.45">
      <c r="A22" s="73" t="s">
        <v>213</v>
      </c>
      <c r="B22" s="70">
        <v>9.0909090909090912E-2</v>
      </c>
      <c r="C22" s="69">
        <v>1</v>
      </c>
      <c r="D22" s="70">
        <v>9.0909090909090912E-2</v>
      </c>
      <c r="E22" s="69">
        <v>1</v>
      </c>
      <c r="S22" s="80" t="s">
        <v>87</v>
      </c>
      <c r="T22" s="80"/>
      <c r="U22" s="80"/>
      <c r="V22" s="80"/>
      <c r="W22" s="80"/>
      <c r="X22" s="80"/>
      <c r="Y22" s="80"/>
    </row>
    <row r="23" spans="1:25" x14ac:dyDescent="0.4">
      <c r="A23" s="68" t="s">
        <v>77</v>
      </c>
      <c r="B23" s="70">
        <v>1</v>
      </c>
      <c r="C23" s="69">
        <v>11</v>
      </c>
      <c r="D23" s="70">
        <v>1</v>
      </c>
      <c r="E23" s="69">
        <v>11</v>
      </c>
      <c r="S23" s="79"/>
      <c r="T23" s="71" t="s">
        <v>78</v>
      </c>
      <c r="U23" s="79"/>
      <c r="V23" s="79"/>
      <c r="W23" s="79"/>
      <c r="X23" s="79"/>
      <c r="Y23" s="79"/>
    </row>
    <row r="24" spans="1:25" x14ac:dyDescent="0.4">
      <c r="S24" s="79"/>
      <c r="T24" s="85" t="s">
        <v>516</v>
      </c>
      <c r="U24" s="86"/>
      <c r="V24" s="85" t="s">
        <v>515</v>
      </c>
      <c r="W24" s="86"/>
      <c r="X24" s="85" t="s">
        <v>81</v>
      </c>
      <c r="Y24" s="85" t="s">
        <v>82</v>
      </c>
    </row>
    <row r="25" spans="1:25" x14ac:dyDescent="0.4">
      <c r="S25" s="71" t="s">
        <v>76</v>
      </c>
      <c r="T25" s="78" t="s">
        <v>80</v>
      </c>
      <c r="U25" s="78" t="s">
        <v>209</v>
      </c>
      <c r="V25" s="78" t="s">
        <v>80</v>
      </c>
      <c r="W25" s="78" t="s">
        <v>209</v>
      </c>
      <c r="X25" s="86"/>
      <c r="Y25" s="86"/>
    </row>
    <row r="26" spans="1:25" x14ac:dyDescent="0.4">
      <c r="S26" s="68" t="s">
        <v>215</v>
      </c>
      <c r="T26" s="70">
        <v>0.45454545454545453</v>
      </c>
      <c r="U26" s="69">
        <v>5</v>
      </c>
      <c r="V26" s="70">
        <v>0.27272727272727271</v>
      </c>
      <c r="W26" s="69">
        <v>3</v>
      </c>
      <c r="X26" s="70">
        <v>0.72727272727272729</v>
      </c>
      <c r="Y26" s="69">
        <v>8</v>
      </c>
    </row>
    <row r="27" spans="1:25" x14ac:dyDescent="0.4">
      <c r="S27" s="73" t="s">
        <v>69</v>
      </c>
      <c r="T27" s="70">
        <v>0.18181818181818182</v>
      </c>
      <c r="U27" s="69">
        <v>2</v>
      </c>
      <c r="V27" s="70">
        <v>9.0909090909090912E-2</v>
      </c>
      <c r="W27" s="69">
        <v>1</v>
      </c>
      <c r="X27" s="70">
        <v>0.27272727272727271</v>
      </c>
      <c r="Y27" s="69">
        <v>3</v>
      </c>
    </row>
    <row r="28" spans="1:25" x14ac:dyDescent="0.4">
      <c r="S28" s="73" t="s">
        <v>517</v>
      </c>
      <c r="T28" s="70">
        <v>9.0909090909090912E-2</v>
      </c>
      <c r="U28" s="69">
        <v>1</v>
      </c>
      <c r="V28" s="70">
        <v>9.0909090909090912E-2</v>
      </c>
      <c r="W28" s="69">
        <v>1</v>
      </c>
      <c r="X28" s="70">
        <v>0.18181818181818182</v>
      </c>
      <c r="Y28" s="69">
        <v>2</v>
      </c>
    </row>
    <row r="29" spans="1:25" x14ac:dyDescent="0.4">
      <c r="S29" s="73" t="s">
        <v>60</v>
      </c>
      <c r="T29" s="70">
        <v>0.18181818181818182</v>
      </c>
      <c r="U29" s="69">
        <v>2</v>
      </c>
      <c r="V29" s="70">
        <v>0</v>
      </c>
      <c r="W29" s="69"/>
      <c r="X29" s="70">
        <v>0.18181818181818182</v>
      </c>
      <c r="Y29" s="69">
        <v>2</v>
      </c>
    </row>
    <row r="30" spans="1:25" x14ac:dyDescent="0.4">
      <c r="S30" s="73" t="s">
        <v>518</v>
      </c>
      <c r="T30" s="70">
        <v>0</v>
      </c>
      <c r="U30" s="69"/>
      <c r="V30" s="70">
        <v>9.0909090909090912E-2</v>
      </c>
      <c r="W30" s="69">
        <v>1</v>
      </c>
      <c r="X30" s="70">
        <v>9.0909090909090912E-2</v>
      </c>
      <c r="Y30" s="69">
        <v>1</v>
      </c>
    </row>
    <row r="31" spans="1:25" x14ac:dyDescent="0.4">
      <c r="S31" s="68" t="s">
        <v>213</v>
      </c>
      <c r="T31" s="70">
        <v>0</v>
      </c>
      <c r="U31" s="69"/>
      <c r="V31" s="70">
        <v>0.18181818181818182</v>
      </c>
      <c r="W31" s="69">
        <v>2</v>
      </c>
      <c r="X31" s="70">
        <v>0.18181818181818182</v>
      </c>
      <c r="Y31" s="69">
        <v>2</v>
      </c>
    </row>
    <row r="32" spans="1:25" x14ac:dyDescent="0.4">
      <c r="S32" s="73" t="s">
        <v>60</v>
      </c>
      <c r="T32" s="70">
        <v>0</v>
      </c>
      <c r="U32" s="69"/>
      <c r="V32" s="70">
        <v>0.18181818181818182</v>
      </c>
      <c r="W32" s="69">
        <v>2</v>
      </c>
      <c r="X32" s="70">
        <v>0.18181818181818182</v>
      </c>
      <c r="Y32" s="69">
        <v>2</v>
      </c>
    </row>
    <row r="33" spans="19:25" x14ac:dyDescent="0.4">
      <c r="S33" s="68" t="s">
        <v>91</v>
      </c>
      <c r="T33" s="70">
        <v>0</v>
      </c>
      <c r="U33" s="69"/>
      <c r="V33" s="70">
        <v>9.0909090909090912E-2</v>
      </c>
      <c r="W33" s="69">
        <v>1</v>
      </c>
      <c r="X33" s="70">
        <v>9.0909090909090912E-2</v>
      </c>
      <c r="Y33" s="69">
        <v>1</v>
      </c>
    </row>
    <row r="34" spans="19:25" x14ac:dyDescent="0.4">
      <c r="S34" s="73" t="s">
        <v>517</v>
      </c>
      <c r="T34" s="70">
        <v>0</v>
      </c>
      <c r="U34" s="69"/>
      <c r="V34" s="70">
        <v>9.0909090909090912E-2</v>
      </c>
      <c r="W34" s="69">
        <v>1</v>
      </c>
      <c r="X34" s="70">
        <v>9.0909090909090912E-2</v>
      </c>
      <c r="Y34" s="69">
        <v>1</v>
      </c>
    </row>
    <row r="35" spans="19:25" x14ac:dyDescent="0.4">
      <c r="S35" s="68" t="s">
        <v>77</v>
      </c>
      <c r="T35" s="70">
        <v>0.45454545454545453</v>
      </c>
      <c r="U35" s="69">
        <v>5</v>
      </c>
      <c r="V35" s="70">
        <v>0.54545454545454541</v>
      </c>
      <c r="W35" s="69">
        <v>6</v>
      </c>
      <c r="X35" s="70">
        <v>1</v>
      </c>
      <c r="Y35" s="69">
        <v>11</v>
      </c>
    </row>
  </sheetData>
  <mergeCells count="17">
    <mergeCell ref="N3:N4"/>
    <mergeCell ref="T24:U24"/>
    <mergeCell ref="V24:W24"/>
    <mergeCell ref="X24:X25"/>
    <mergeCell ref="Y24:Y25"/>
    <mergeCell ref="A1:E1"/>
    <mergeCell ref="J1:P1"/>
    <mergeCell ref="S1:Y1"/>
    <mergeCell ref="B3:C3"/>
    <mergeCell ref="D3:D4"/>
    <mergeCell ref="E3:E4"/>
    <mergeCell ref="T3:U3"/>
    <mergeCell ref="V3:W3"/>
    <mergeCell ref="X3:X4"/>
    <mergeCell ref="Y3:Y4"/>
    <mergeCell ref="K3:L3"/>
    <mergeCell ref="M3:M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A4A7DE-4DCC-4DBA-8A6A-7E26DC85A395}">
  <sheetPr codeName="Configurations"/>
  <dimension ref="A1:AJ8"/>
  <sheetViews>
    <sheetView zoomScaleNormal="100" workbookViewId="0">
      <pane ySplit="1" topLeftCell="A2" activePane="bottomLeft" state="frozen"/>
      <selection pane="bottomLeft" activeCell="A2" sqref="A2"/>
    </sheetView>
  </sheetViews>
  <sheetFormatPr defaultColWidth="8.84375" defaultRowHeight="14.6" x14ac:dyDescent="0.4"/>
  <cols>
    <col min="1" max="1" width="6.921875" style="34" bestFit="1" customWidth="1"/>
    <col min="2" max="2" width="15.23046875" style="34" bestFit="1" customWidth="1"/>
    <col min="3" max="3" width="18.61328125" style="31" bestFit="1" customWidth="1"/>
    <col min="4" max="4" width="8.3046875" style="35" bestFit="1" customWidth="1"/>
    <col min="5" max="5" width="10.23046875" style="31" bestFit="1" customWidth="1"/>
    <col min="6" max="6" width="14.69140625" style="31" bestFit="1" customWidth="1"/>
    <col min="7" max="7" width="8.23046875" style="32" bestFit="1" customWidth="1"/>
    <col min="8" max="8" width="9" style="30" bestFit="1" customWidth="1"/>
    <col min="9" max="9" width="24.23046875" style="77" bestFit="1" customWidth="1"/>
    <col min="10" max="10" width="15.3046875" style="77" bestFit="1" customWidth="1"/>
    <col min="11" max="11" width="13.4609375" style="77" bestFit="1" customWidth="1"/>
    <col min="12" max="12" width="17.921875" style="77" bestFit="1" customWidth="1"/>
    <col min="13" max="13" width="12.921875" style="77" bestFit="1" customWidth="1"/>
    <col min="14" max="14" width="8.921875" style="77" bestFit="1" customWidth="1"/>
    <col min="15" max="15" width="12.765625" style="77" bestFit="1" customWidth="1"/>
    <col min="16" max="16" width="10.4609375" style="77" bestFit="1" customWidth="1"/>
    <col min="17" max="17" width="7.69140625" style="77" bestFit="1" customWidth="1"/>
    <col min="18" max="18" width="13.61328125" style="77" bestFit="1" customWidth="1"/>
    <col min="19" max="19" width="10.3046875" style="77" bestFit="1" customWidth="1"/>
    <col min="20" max="20" width="14.15234375" style="77" bestFit="1" customWidth="1"/>
    <col min="21" max="21" width="18.07421875" style="77" bestFit="1" customWidth="1"/>
    <col min="22" max="22" width="18.53515625" style="77" bestFit="1" customWidth="1"/>
    <col min="23" max="23" width="18.3046875" style="77" bestFit="1" customWidth="1"/>
    <col min="24" max="24" width="21.84375" style="77" bestFit="1" customWidth="1"/>
    <col min="25" max="25" width="21.4609375" style="77" bestFit="1" customWidth="1"/>
    <col min="26" max="26" width="15.61328125" style="77" bestFit="1" customWidth="1"/>
    <col min="27" max="27" width="26.15234375" style="77" bestFit="1" customWidth="1"/>
    <col min="28" max="28" width="7.84375" style="77" bestFit="1" customWidth="1"/>
    <col min="29" max="29" width="18.07421875" style="77" bestFit="1" customWidth="1"/>
    <col min="30" max="30" width="18.23046875" style="77" bestFit="1" customWidth="1"/>
    <col min="31" max="31" width="9.53515625" style="77" bestFit="1" customWidth="1"/>
    <col min="32" max="32" width="14.69140625" style="77" bestFit="1" customWidth="1"/>
    <col min="33" max="33" width="20.84375" style="77" bestFit="1" customWidth="1"/>
    <col min="34" max="34" width="28.53515625" style="77" bestFit="1" customWidth="1"/>
    <col min="35" max="35" width="7.4609375" style="77" bestFit="1" customWidth="1"/>
    <col min="36" max="36" width="9" style="77" bestFit="1" customWidth="1"/>
    <col min="37" max="16384" width="8.84375" style="33"/>
  </cols>
  <sheetData>
    <row r="1" spans="1:36" s="24" customFormat="1" x14ac:dyDescent="0.4">
      <c r="A1" s="42" t="s">
        <v>14</v>
      </c>
      <c r="B1" s="42" t="s">
        <v>43</v>
      </c>
      <c r="C1" s="43" t="s">
        <v>27</v>
      </c>
      <c r="D1" s="43" t="s">
        <v>32</v>
      </c>
      <c r="E1" s="43" t="s">
        <v>15</v>
      </c>
      <c r="F1" s="43" t="s">
        <v>33</v>
      </c>
      <c r="G1" s="44" t="s">
        <v>34</v>
      </c>
      <c r="H1" s="44" t="s">
        <v>35</v>
      </c>
      <c r="I1" s="13" t="s">
        <v>109</v>
      </c>
      <c r="J1" s="13" t="s">
        <v>92</v>
      </c>
      <c r="K1" s="13" t="s">
        <v>110</v>
      </c>
      <c r="L1" s="13" t="s">
        <v>95</v>
      </c>
      <c r="M1" s="76" t="s">
        <v>104</v>
      </c>
      <c r="N1" s="76" t="s">
        <v>94</v>
      </c>
      <c r="O1" s="76" t="s">
        <v>69</v>
      </c>
      <c r="P1" s="76" t="s">
        <v>98</v>
      </c>
      <c r="Q1" s="76" t="s">
        <v>93</v>
      </c>
      <c r="R1" s="76" t="s">
        <v>114</v>
      </c>
      <c r="S1" s="76" t="s">
        <v>96</v>
      </c>
      <c r="T1" s="76" t="s">
        <v>118</v>
      </c>
      <c r="U1" s="76" t="s">
        <v>97</v>
      </c>
      <c r="V1" s="76" t="s">
        <v>101</v>
      </c>
      <c r="W1" s="76" t="s">
        <v>102</v>
      </c>
      <c r="X1" s="76" t="s">
        <v>117</v>
      </c>
      <c r="Y1" s="76" t="s">
        <v>112</v>
      </c>
      <c r="Z1" s="76" t="s">
        <v>105</v>
      </c>
      <c r="AA1" s="76" t="s">
        <v>116</v>
      </c>
      <c r="AB1" s="76" t="s">
        <v>103</v>
      </c>
      <c r="AC1" s="76" t="s">
        <v>113</v>
      </c>
      <c r="AD1" s="76" t="s">
        <v>100</v>
      </c>
      <c r="AE1" s="76" t="s">
        <v>99</v>
      </c>
      <c r="AF1" s="76" t="s">
        <v>111</v>
      </c>
      <c r="AG1" s="76" t="s">
        <v>108</v>
      </c>
      <c r="AH1" s="76" t="s">
        <v>115</v>
      </c>
      <c r="AI1" s="76" t="s">
        <v>106</v>
      </c>
      <c r="AJ1" s="76" t="s">
        <v>107</v>
      </c>
    </row>
    <row r="8" spans="1:36" x14ac:dyDescent="0.4">
      <c r="E8" s="50"/>
    </row>
  </sheetData>
  <sheetProtection sheet="1" objects="1" scenarios="1" sort="0" autoFilter="0"/>
  <protectedRanges>
    <protectedRange sqref="E2:G1048576 C2:C1048576" name="EditConfiguration" securityDescriptor="O:WDG:WDD:(A;;CC;;;WD)"/>
  </protectedRanges>
  <autoFilter ref="A1:AJ10" xr:uid="{02CB59FA-E80E-428F-83BE-0DCEA9446659}"/>
  <sortState ref="A2:AJ11">
    <sortCondition ref="A1"/>
  </sortState>
  <dataConsolidate/>
  <conditionalFormatting sqref="E2:E1048576">
    <cfRule type="containsBlanks" priority="1" stopIfTrue="1">
      <formula>LEN(TRIM(E2))=0</formula>
    </cfRule>
  </conditionalFormatting>
  <pageMargins left="0.25" right="0.25" top="0.75" bottom="0.75" header="0.3" footer="0.3"/>
  <pageSetup paperSize="9" scale="79" pageOrder="overThenDown" orientation="landscape" r:id="rId1"/>
  <headerFooter>
    <oddFooter>Page &amp;P of &amp;N</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3" id="{6AC6686B-9C41-425B-9A1F-86175A33452E}">
            <xm:f>ISERROR(MATCH(E2,Companies!$M$2:$M$1048576,0))</xm:f>
            <x14:dxf>
              <fill>
                <patternFill>
                  <bgColor rgb="FFFFFF00"/>
                </patternFill>
              </fill>
            </x14:dxf>
          </x14:cfRule>
          <xm:sqref>E2:E1048576</xm:sqref>
        </x14:conditionalFormatting>
        <x14:conditionalFormatting xmlns:xm="http://schemas.microsoft.com/office/excel/2006/main">
          <x14:cfRule type="expression" priority="4" id="{CCF5DEC3-C67A-4777-AFCD-E08AD7F4842B}">
            <xm:f>A1&lt;&gt;'Original Configurations'!A1</xm:f>
            <x14:dxf>
              <font>
                <color rgb="FFC00000"/>
              </font>
            </x14:dxf>
          </x14:cfRule>
          <xm:sqref>A1:H1048576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E4460BB-C2B2-4B87-9663-4B81124AC418}">
          <x14:formula1>
            <xm:f>Settings!$D$2:$D$3</xm:f>
          </x14:formula1>
          <xm:sqref>G2:G1048576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F1BF1-D4C5-4888-8968-CA9A0219BE41}">
  <sheetPr codeName="Companies"/>
  <dimension ref="A1:U26813"/>
  <sheetViews>
    <sheetView workbookViewId="0">
      <pane ySplit="1" topLeftCell="A2" activePane="bottomLeft" state="frozen"/>
      <selection pane="bottomLeft" activeCell="A2" sqref="A2"/>
    </sheetView>
  </sheetViews>
  <sheetFormatPr defaultColWidth="8.84375" defaultRowHeight="14.6" x14ac:dyDescent="0.4"/>
  <cols>
    <col min="1" max="1" width="6.921875" style="36" bestFit="1" customWidth="1"/>
    <col min="2" max="2" width="10.23046875" style="31" bestFit="1" customWidth="1"/>
    <col min="3" max="3" width="16.61328125" style="31" bestFit="1" customWidth="1"/>
    <col min="4" max="4" width="10.61328125" style="31" bestFit="1" customWidth="1"/>
    <col min="5" max="5" width="11.921875" style="31" bestFit="1" customWidth="1"/>
    <col min="6" max="6" width="13.3828125" style="31" bestFit="1" customWidth="1"/>
    <col min="7" max="7" width="8.4609375" style="31" bestFit="1" customWidth="1"/>
    <col min="8" max="8" width="9.61328125" style="31" bestFit="1" customWidth="1"/>
    <col min="9" max="9" width="7.765625" style="38" bestFit="1" customWidth="1"/>
    <col min="10" max="10" width="12.15234375" style="31" bestFit="1" customWidth="1"/>
    <col min="11" max="11" width="16.765625" style="38" bestFit="1" customWidth="1"/>
    <col min="12" max="12" width="12.84375" style="31" bestFit="1" customWidth="1"/>
    <col min="13" max="13" width="16.61328125" style="31" bestFit="1" customWidth="1"/>
    <col min="14" max="18" width="13.07421875" style="31" bestFit="1" customWidth="1"/>
    <col min="19" max="19" width="8.23046875" style="32" bestFit="1" customWidth="1"/>
    <col min="20" max="20" width="18" style="67" bestFit="1" customWidth="1"/>
    <col min="21" max="21" width="16.3046875" style="65" bestFit="1" customWidth="1"/>
    <col min="22" max="16384" width="8.84375" style="9"/>
  </cols>
  <sheetData>
    <row r="1" spans="1:21" s="13" customFormat="1" x14ac:dyDescent="0.4">
      <c r="A1" s="49" t="s">
        <v>14</v>
      </c>
      <c r="B1" s="13" t="s">
        <v>15</v>
      </c>
      <c r="C1" s="13" t="s">
        <v>16</v>
      </c>
      <c r="D1" s="13" t="s">
        <v>17</v>
      </c>
      <c r="E1" s="13" t="s">
        <v>18</v>
      </c>
      <c r="F1" s="13" t="s">
        <v>19</v>
      </c>
      <c r="G1" s="43" t="s">
        <v>20</v>
      </c>
      <c r="H1" s="43" t="s">
        <v>21</v>
      </c>
      <c r="I1" s="42" t="s">
        <v>22</v>
      </c>
      <c r="J1" s="43" t="s">
        <v>23</v>
      </c>
      <c r="K1" s="42" t="s">
        <v>24</v>
      </c>
      <c r="L1" s="43" t="s">
        <v>25</v>
      </c>
      <c r="M1" s="43" t="s">
        <v>39</v>
      </c>
      <c r="N1" s="43" t="s">
        <v>10</v>
      </c>
      <c r="O1" s="43" t="s">
        <v>11</v>
      </c>
      <c r="P1" s="43" t="s">
        <v>12</v>
      </c>
      <c r="Q1" s="43" t="s">
        <v>13</v>
      </c>
      <c r="R1" s="43" t="s">
        <v>62</v>
      </c>
      <c r="S1" s="44" t="s">
        <v>34</v>
      </c>
      <c r="T1" s="66" t="s">
        <v>75</v>
      </c>
      <c r="U1" s="63" t="s">
        <v>74</v>
      </c>
    </row>
    <row r="1845" spans="4:5" x14ac:dyDescent="0.4">
      <c r="D1845" s="40"/>
      <c r="E1845" s="41"/>
    </row>
    <row r="3060" spans="4:5" x14ac:dyDescent="0.4">
      <c r="D3060" s="40"/>
      <c r="E3060" s="41"/>
    </row>
    <row r="3451" spans="2:4" x14ac:dyDescent="0.4">
      <c r="B3451" s="39"/>
      <c r="C3451" s="39"/>
      <c r="D3451" s="39"/>
    </row>
    <row r="8827" spans="5:5" x14ac:dyDescent="0.4">
      <c r="E8827" s="51"/>
    </row>
    <row r="12414" spans="5:5" x14ac:dyDescent="0.4">
      <c r="E12414" s="51"/>
    </row>
    <row r="14178" spans="2:3" x14ac:dyDescent="0.4">
      <c r="B14178" s="51"/>
      <c r="C14178" s="51"/>
    </row>
    <row r="14487" spans="4:5" x14ac:dyDescent="0.4">
      <c r="D14487" s="40"/>
      <c r="E14487" s="41"/>
    </row>
    <row r="20383" spans="5:5" x14ac:dyDescent="0.4">
      <c r="E20383" s="51"/>
    </row>
    <row r="20399" spans="5:5" x14ac:dyDescent="0.4">
      <c r="E20399" s="51"/>
    </row>
    <row r="26813" spans="5:9" x14ac:dyDescent="0.4">
      <c r="E26813" s="51"/>
      <c r="G26813" s="51"/>
      <c r="I26813" s="52"/>
    </row>
  </sheetData>
  <sheetProtection sheet="1" objects="1" scenarios="1" sort="0" autoFilter="0"/>
  <protectedRanges>
    <protectedRange sqref="B2:T1048576" name="EditCompanies" securityDescriptor="O:WDG:WDD:(A;;CC;;;WD)"/>
  </protectedRanges>
  <autoFilter ref="A1:U11" xr:uid="{7A57D851-BEF2-4672-BBAA-FD3377AE78C5}"/>
  <sortState ref="A2:U26814">
    <sortCondition ref="A1"/>
  </sortState>
  <dataConsolidate/>
  <conditionalFormatting sqref="B1:B1048576">
    <cfRule type="containsBlanks" priority="1" stopIfTrue="1">
      <formula>LEN(TRIM(B1))=0</formula>
    </cfRule>
  </conditionalFormatting>
  <pageMargins left="0.25" right="0.25" top="0.75" bottom="0.75" header="0.3" footer="0.3"/>
  <pageSetup paperSize="9" scale="79" pageOrder="overThenDown" orientation="landscape" r:id="rId1"/>
  <headerFooter>
    <oddFooter>Page &amp;P of &amp;N</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26" id="{00000000-000E-0000-0300-000001000000}">
            <xm:f>A1&lt;&gt;'Original Companies'!A1</xm:f>
            <x14:dxf>
              <font>
                <color rgb="FFC00000"/>
              </font>
            </x14:dxf>
          </x14:cfRule>
          <xm:sqref>A1:T1048576</xm:sqref>
        </x14:conditionalFormatting>
        <x14:conditionalFormatting xmlns:xm="http://schemas.microsoft.com/office/excel/2006/main">
          <x14:cfRule type="expression" priority="2" id="{182A1FEE-2F95-4064-9B54-E7C6621E607A}">
            <xm:f>ISERROR(MATCH(B2,Users!$D$2:$D$1048576,0))</xm:f>
            <x14:dxf>
              <fill>
                <patternFill>
                  <bgColor rgb="FFFFFF00"/>
                </patternFill>
              </fill>
            </x14:dxf>
          </x14:cfRule>
          <x14:cfRule type="expression" priority="3" id="{A66A2C44-AED8-4D84-94ED-ACE797727898}">
            <xm:f>MATCH(B2,MatchMe!$A:$A,0)</xm:f>
            <x14:dxf>
              <fill>
                <patternFill>
                  <bgColor rgb="FF92D050"/>
                </patternFill>
              </fill>
            </x14:dxf>
          </x14:cfRule>
          <xm:sqref>B2:B1048576</xm:sqref>
        </x14:conditionalFormatting>
        <x14:conditionalFormatting xmlns:xm="http://schemas.microsoft.com/office/excel/2006/main">
          <x14:cfRule type="expression" priority="4" id="{953AFA7C-416A-4825-A09D-A0097A5945FB}">
            <xm:f>MATCH(N2,MatchMe!$B:$B,0)</xm:f>
            <x14:dxf>
              <fill>
                <patternFill>
                  <bgColor rgb="FF92D050"/>
                </patternFill>
              </fill>
            </x14:dxf>
          </x14:cfRule>
          <xm:sqref>N2:N1048576</xm:sqref>
        </x14:conditionalFormatting>
        <x14:conditionalFormatting xmlns:xm="http://schemas.microsoft.com/office/excel/2006/main">
          <x14:cfRule type="expression" priority="5" id="{5457BC1C-464C-4574-AF26-CE919604BAF5}">
            <xm:f>MATCH(O2,MatchMe!$C:$C,0)</xm:f>
            <x14:dxf>
              <fill>
                <patternFill>
                  <bgColor rgb="FF92D050"/>
                </patternFill>
              </fill>
            </x14:dxf>
          </x14:cfRule>
          <xm:sqref>O2:O1048576</xm:sqref>
        </x14:conditionalFormatting>
        <x14:conditionalFormatting xmlns:xm="http://schemas.microsoft.com/office/excel/2006/main">
          <x14:cfRule type="expression" priority="6" id="{D71FAE8F-2688-4915-8C1D-32E74AA499FA}">
            <xm:f>MATCH(P2,MatchMe!$D:$D,0)</xm:f>
            <x14:dxf>
              <fill>
                <patternFill>
                  <bgColor rgb="FF92D050"/>
                </patternFill>
              </fill>
            </x14:dxf>
          </x14:cfRule>
          <xm:sqref>P2:P1048576</xm:sqref>
        </x14:conditionalFormatting>
        <x14:conditionalFormatting xmlns:xm="http://schemas.microsoft.com/office/excel/2006/main">
          <x14:cfRule type="expression" priority="10" id="{D08CACCA-E9CF-475B-B2AE-FB348548AAA9}">
            <xm:f>MATCH(Q2,MatchMe!$E:$E,0)</xm:f>
            <x14:dxf>
              <fill>
                <patternFill>
                  <bgColor rgb="FF92D050"/>
                </patternFill>
              </fill>
            </x14:dxf>
          </x14:cfRule>
          <xm:sqref>Q2:Q1048576</xm:sqref>
        </x14:conditionalFormatting>
        <x14:conditionalFormatting xmlns:xm="http://schemas.microsoft.com/office/excel/2006/main">
          <x14:cfRule type="expression" priority="13" id="{2A8EEBCB-1C08-4F89-9C5C-229B753D4CDB}">
            <xm:f>MATCH(R2,MatchMe!$F:$F,0)</xm:f>
            <x14:dxf>
              <fill>
                <patternFill>
                  <bgColor rgb="FF92D050"/>
                </patternFill>
              </fill>
            </x14:dxf>
          </x14:cfRule>
          <xm:sqref>R2:R1048576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4405AD15-6279-3B47-A9EE-9139D2C7AD41}">
          <x14:formula1>
            <xm:f>Configurations!$E$2:$E$1048576</xm:f>
          </x14:formula1>
          <xm:sqref>M3:M1048576</xm:sqref>
        </x14:dataValidation>
        <x14:dataValidation type="list" allowBlank="1" showInputMessage="1" showErrorMessage="1" xr:uid="{79798EE3-1E89-431F-97DF-FA2A70E18FE7}">
          <x14:formula1>
            <xm:f>Settings!$D$2:$D$3</xm:f>
          </x14:formula1>
          <xm:sqref>S2:T1048576</xm:sqref>
        </x14:dataValidation>
        <x14:dataValidation type="list" allowBlank="1" showInputMessage="1" showErrorMessage="1" xr:uid="{6E67FABB-A29F-A143-968A-DFF141CA5462}">
          <x14:formula1>
            <xm:f>Configurations!E2:E1048576</xm:f>
          </x14:formula1>
          <xm:sqref>M2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D63A7-9911-4301-B498-E257572BEBAA}">
  <sheetPr codeName="Users"/>
  <dimension ref="A1:P144"/>
  <sheetViews>
    <sheetView workbookViewId="0">
      <pane ySplit="1" topLeftCell="A2" activePane="bottomLeft" state="frozen"/>
      <selection pane="bottomLeft" activeCell="A2" sqref="A2"/>
    </sheetView>
  </sheetViews>
  <sheetFormatPr defaultColWidth="8.84375" defaultRowHeight="14.6" x14ac:dyDescent="0.4"/>
  <cols>
    <col min="1" max="1" width="6.921875" style="37" bestFit="1" customWidth="1"/>
    <col min="2" max="2" width="14.23046875" style="47" bestFit="1" customWidth="1"/>
    <col min="3" max="3" width="13.53515625" style="47" bestFit="1" customWidth="1"/>
    <col min="4" max="4" width="13.15234375" style="47" bestFit="1" customWidth="1"/>
    <col min="5" max="5" width="9.84375" style="47" bestFit="1" customWidth="1"/>
    <col min="6" max="6" width="14.4609375" style="47" bestFit="1" customWidth="1"/>
    <col min="7" max="7" width="12.23046875" style="47" bestFit="1" customWidth="1"/>
    <col min="8" max="8" width="10.61328125" style="41" bestFit="1" customWidth="1"/>
    <col min="9" max="9" width="15.3828125" style="47" bestFit="1" customWidth="1"/>
    <col min="10" max="10" width="9" style="47" bestFit="1" customWidth="1"/>
    <col min="11" max="14" width="13.07421875" style="41" bestFit="1" customWidth="1"/>
    <col min="15" max="15" width="8.23046875" style="32" bestFit="1" customWidth="1"/>
    <col min="16" max="16" width="16.3046875" style="64" bestFit="1" customWidth="1"/>
    <col min="17" max="16384" width="8.84375" style="25"/>
  </cols>
  <sheetData>
    <row r="1" spans="1:16" s="13" customFormat="1" x14ac:dyDescent="0.4">
      <c r="A1" s="42" t="s">
        <v>14</v>
      </c>
      <c r="B1" s="45" t="s">
        <v>26</v>
      </c>
      <c r="C1" s="45" t="s">
        <v>40</v>
      </c>
      <c r="D1" s="45" t="s">
        <v>41</v>
      </c>
      <c r="E1" s="45" t="s">
        <v>28</v>
      </c>
      <c r="F1" s="45" t="s">
        <v>42</v>
      </c>
      <c r="G1" s="45" t="s">
        <v>30</v>
      </c>
      <c r="H1" s="46" t="s">
        <v>17</v>
      </c>
      <c r="I1" s="45" t="s">
        <v>29</v>
      </c>
      <c r="J1" s="45" t="s">
        <v>31</v>
      </c>
      <c r="K1" s="43" t="s">
        <v>10</v>
      </c>
      <c r="L1" s="43" t="s">
        <v>11</v>
      </c>
      <c r="M1" s="43" t="s">
        <v>12</v>
      </c>
      <c r="N1" s="43" t="s">
        <v>13</v>
      </c>
      <c r="O1" s="44" t="s">
        <v>34</v>
      </c>
      <c r="P1" s="63" t="s">
        <v>74</v>
      </c>
    </row>
    <row r="19" spans="4:4" x14ac:dyDescent="0.4">
      <c r="D19" s="39"/>
    </row>
    <row r="144" spans="4:4" x14ac:dyDescent="0.4">
      <c r="D144" s="48"/>
    </row>
  </sheetData>
  <sheetProtection sheet="1" objects="1" scenarios="1" sort="0" autoFilter="0"/>
  <protectedRanges>
    <protectedRange sqref="B2:O1048576" name="UserEdits" securityDescriptor="O:WDG:WDD:(A;;CC;;;WD)"/>
  </protectedRanges>
  <autoFilter ref="A1:P78" xr:uid="{1A261AC6-7654-49A5-9143-F8E0890F0674}"/>
  <sortState ref="A2:P145">
    <sortCondition ref="A1"/>
  </sortState>
  <pageMargins left="0.25" right="0.25" top="0.75" bottom="0.75" header="0.3" footer="0.3"/>
  <pageSetup paperSize="9" scale="79" pageOrder="overThenDown" orientation="landscape" r:id="rId1"/>
  <headerFooter>
    <oddFooter>Page &amp;P of &amp;N</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 id="{751C900C-2AA1-4894-B7E2-83CBA9BF3B9E}">
            <xm:f>A1&lt;&gt;'Original Users'!A1</xm:f>
            <x14:dxf>
              <font>
                <color rgb="FFC00000"/>
              </font>
            </x14:dxf>
          </x14:cfRule>
          <xm:sqref>A1:O1048576</xm:sqref>
        </x14:conditionalFormatting>
        <x14:conditionalFormatting xmlns:xm="http://schemas.microsoft.com/office/excel/2006/main">
          <x14:cfRule type="expression" priority="2" id="{846983C3-D55C-42BD-A4D7-50CF3ED09F55}">
            <xm:f>MATCH(E2,MatchMe!$H:$H,0)</xm:f>
            <x14:dxf>
              <fill>
                <patternFill>
                  <bgColor rgb="FF92D050"/>
                </patternFill>
              </fill>
            </x14:dxf>
          </x14:cfRule>
          <xm:sqref>E2:E1048576</xm:sqref>
        </x14:conditionalFormatting>
        <x14:conditionalFormatting xmlns:xm="http://schemas.microsoft.com/office/excel/2006/main">
          <x14:cfRule type="expression" priority="3" id="{61D7FDFC-CE36-4589-BD70-155B31C1B7A6}">
            <xm:f>MATCH(F2,MatchMe!$G:$G,0)</xm:f>
            <x14:dxf>
              <fill>
                <patternFill>
                  <bgColor rgb="FF92D050"/>
                </patternFill>
              </fill>
            </x14:dxf>
          </x14:cfRule>
          <xm:sqref>F2:F1048576</xm:sqref>
        </x14:conditionalFormatting>
        <x14:conditionalFormatting xmlns:xm="http://schemas.microsoft.com/office/excel/2006/main">
          <x14:cfRule type="expression" priority="4" id="{259EAD7E-1C4C-4A7F-A297-A80D4CE354E4}">
            <xm:f>MATCH(K2,MatchMe!$I:$I,0)</xm:f>
            <x14:dxf>
              <fill>
                <patternFill>
                  <bgColor rgb="FF92D050"/>
                </patternFill>
              </fill>
            </x14:dxf>
          </x14:cfRule>
          <xm:sqref>K2:K1048576</xm:sqref>
        </x14:conditionalFormatting>
        <x14:conditionalFormatting xmlns:xm="http://schemas.microsoft.com/office/excel/2006/main">
          <x14:cfRule type="expression" priority="5" id="{1E779AE5-A91A-4112-9D76-1E074E3AFB8D}">
            <xm:f>MATCH(L2,MatchMe!$J:$J,0)</xm:f>
            <x14:dxf>
              <fill>
                <patternFill>
                  <bgColor rgb="FF92D050"/>
                </patternFill>
              </fill>
            </x14:dxf>
          </x14:cfRule>
          <xm:sqref>L2:L1048576</xm:sqref>
        </x14:conditionalFormatting>
        <x14:conditionalFormatting xmlns:xm="http://schemas.microsoft.com/office/excel/2006/main">
          <x14:cfRule type="expression" priority="6" id="{C0D9B476-FAC3-483B-AF51-4827044F80A8}">
            <xm:f>MATCH(M2,MatchMe!$K:$K,0)</xm:f>
            <x14:dxf>
              <fill>
                <patternFill>
                  <bgColor rgb="FF92D050"/>
                </patternFill>
              </fill>
            </x14:dxf>
          </x14:cfRule>
          <xm:sqref>M2:M1048576</xm:sqref>
        </x14:conditionalFormatting>
        <x14:conditionalFormatting xmlns:xm="http://schemas.microsoft.com/office/excel/2006/main">
          <x14:cfRule type="expression" priority="7" id="{E97B1809-2BBC-43FD-B908-C19767C93576}">
            <xm:f>MATCH(N2,MatchMe!$L:$L,0)</xm:f>
            <x14:dxf>
              <fill>
                <patternFill>
                  <bgColor rgb="FF92D050"/>
                </patternFill>
              </fill>
            </x14:dxf>
          </x14:cfRule>
          <xm:sqref>N2:N1048576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32BD38A-ADA0-4CA7-BF3E-C12ED57A053A}">
          <x14:formula1>
            <xm:f>Settings!$D$2:$D$3</xm:f>
          </x14:formula1>
          <xm:sqref>O2:O1048576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6B53F-10AA-49F2-88D9-947A84AC8C4E}">
  <sheetPr codeName="Issues"/>
  <dimension ref="A1:O3439"/>
  <sheetViews>
    <sheetView workbookViewId="0">
      <pane ySplit="1" topLeftCell="A2" activePane="bottomLeft" state="frozen"/>
      <selection pane="bottomLeft" activeCell="A2" sqref="A2"/>
    </sheetView>
  </sheetViews>
  <sheetFormatPr defaultRowHeight="14.6" x14ac:dyDescent="0.4"/>
  <cols>
    <col min="1" max="1" width="6.921875" style="57" bestFit="1" customWidth="1"/>
    <col min="2" max="2" width="13.61328125" style="57" bestFit="1" customWidth="1"/>
    <col min="3" max="3" width="14.23046875" style="58" bestFit="1" customWidth="1"/>
    <col min="4" max="4" width="14" style="58" bestFit="1" customWidth="1"/>
    <col min="5" max="5" width="9.84375" style="58" bestFit="1" customWidth="1"/>
    <col min="6" max="6" width="13.15234375" style="58" bestFit="1" customWidth="1"/>
    <col min="7" max="7" width="13" style="57" bestFit="1" customWidth="1"/>
    <col min="8" max="8" width="14.23046875" style="58" bestFit="1" customWidth="1"/>
    <col min="9" max="9" width="14" style="58" bestFit="1" customWidth="1"/>
    <col min="10" max="10" width="9.84375" style="58" bestFit="1" customWidth="1"/>
    <col min="11" max="11" width="13.15234375" style="58" bestFit="1" customWidth="1"/>
    <col min="12" max="12" width="12.69140625" style="58" bestFit="1" customWidth="1"/>
    <col min="13" max="13" width="10.4609375" style="56" bestFit="1" customWidth="1"/>
    <col min="14" max="14" width="11.84375" style="57" bestFit="1" customWidth="1"/>
    <col min="15" max="15" width="14" style="58" bestFit="1" customWidth="1"/>
    <col min="16" max="16384" width="9.23046875" style="55"/>
  </cols>
  <sheetData>
    <row r="1" spans="1:15" x14ac:dyDescent="0.4">
      <c r="A1" s="61" t="s">
        <v>14</v>
      </c>
      <c r="B1" s="61" t="s">
        <v>67</v>
      </c>
      <c r="C1" s="61" t="s">
        <v>26</v>
      </c>
      <c r="D1" s="61" t="s">
        <v>85</v>
      </c>
      <c r="E1" s="61" t="s">
        <v>28</v>
      </c>
      <c r="F1" s="61" t="s">
        <v>41</v>
      </c>
      <c r="G1" s="61" t="s">
        <v>68</v>
      </c>
      <c r="H1" s="61" t="s">
        <v>26</v>
      </c>
      <c r="I1" s="61" t="s">
        <v>85</v>
      </c>
      <c r="J1" s="61" t="s">
        <v>28</v>
      </c>
      <c r="K1" s="61" t="s">
        <v>41</v>
      </c>
      <c r="L1" s="61" t="s">
        <v>64</v>
      </c>
      <c r="M1" s="61" t="s">
        <v>63</v>
      </c>
      <c r="N1" s="61" t="s">
        <v>65</v>
      </c>
      <c r="O1" s="61" t="s">
        <v>66</v>
      </c>
    </row>
    <row r="2" spans="1:15" x14ac:dyDescent="0.4">
      <c r="N2" s="59"/>
      <c r="O2" s="60"/>
    </row>
    <row r="3" spans="1:15" x14ac:dyDescent="0.4">
      <c r="N3" s="59"/>
      <c r="O3" s="60"/>
    </row>
    <row r="4" spans="1:15" x14ac:dyDescent="0.4">
      <c r="N4" s="59"/>
      <c r="O4" s="60"/>
    </row>
    <row r="5" spans="1:15" x14ac:dyDescent="0.4">
      <c r="N5" s="59"/>
      <c r="O5" s="60"/>
    </row>
    <row r="6" spans="1:15" x14ac:dyDescent="0.4">
      <c r="N6" s="59"/>
      <c r="O6" s="60"/>
    </row>
    <row r="7" spans="1:15" x14ac:dyDescent="0.4">
      <c r="N7" s="59"/>
      <c r="O7" s="60"/>
    </row>
    <row r="8" spans="1:15" x14ac:dyDescent="0.4">
      <c r="N8" s="59"/>
      <c r="O8" s="60"/>
    </row>
    <row r="9" spans="1:15" x14ac:dyDescent="0.4">
      <c r="N9" s="59"/>
      <c r="O9" s="60"/>
    </row>
    <row r="10" spans="1:15" x14ac:dyDescent="0.4">
      <c r="N10" s="59"/>
      <c r="O10" s="60"/>
    </row>
    <row r="11" spans="1:15" x14ac:dyDescent="0.4">
      <c r="N11" s="59"/>
      <c r="O11" s="60"/>
    </row>
    <row r="12" spans="1:15" x14ac:dyDescent="0.4">
      <c r="N12" s="59"/>
      <c r="O12" s="60"/>
    </row>
    <row r="13" spans="1:15" x14ac:dyDescent="0.4">
      <c r="N13" s="59"/>
      <c r="O13" s="60"/>
    </row>
    <row r="14" spans="1:15" x14ac:dyDescent="0.4">
      <c r="N14" s="59"/>
      <c r="O14" s="60"/>
    </row>
    <row r="15" spans="1:15" x14ac:dyDescent="0.4">
      <c r="N15" s="59"/>
    </row>
    <row r="16" spans="1:15" x14ac:dyDescent="0.4">
      <c r="N16" s="59"/>
      <c r="O16" s="60"/>
    </row>
    <row r="17" spans="14:15" x14ac:dyDescent="0.4">
      <c r="N17" s="59"/>
      <c r="O17" s="60"/>
    </row>
    <row r="18" spans="14:15" x14ac:dyDescent="0.4">
      <c r="N18" s="59"/>
      <c r="O18" s="60"/>
    </row>
    <row r="19" spans="14:15" x14ac:dyDescent="0.4">
      <c r="N19" s="59"/>
      <c r="O19" s="60"/>
    </row>
    <row r="20" spans="14:15" x14ac:dyDescent="0.4">
      <c r="N20" s="59"/>
      <c r="O20" s="60"/>
    </row>
    <row r="21" spans="14:15" x14ac:dyDescent="0.4">
      <c r="N21" s="59"/>
      <c r="O21" s="60"/>
    </row>
    <row r="22" spans="14:15" x14ac:dyDescent="0.4">
      <c r="N22" s="59"/>
    </row>
    <row r="23" spans="14:15" x14ac:dyDescent="0.4">
      <c r="N23" s="59"/>
    </row>
    <row r="24" spans="14:15" x14ac:dyDescent="0.4">
      <c r="N24" s="59"/>
      <c r="O24" s="60"/>
    </row>
    <row r="25" spans="14:15" x14ac:dyDescent="0.4">
      <c r="N25" s="59"/>
    </row>
    <row r="26" spans="14:15" x14ac:dyDescent="0.4">
      <c r="N26" s="59"/>
    </row>
    <row r="27" spans="14:15" x14ac:dyDescent="0.4">
      <c r="N27" s="59"/>
    </row>
    <row r="28" spans="14:15" x14ac:dyDescent="0.4">
      <c r="N28" s="59"/>
    </row>
    <row r="29" spans="14:15" x14ac:dyDescent="0.4">
      <c r="N29" s="59"/>
    </row>
    <row r="30" spans="14:15" x14ac:dyDescent="0.4">
      <c r="N30" s="59"/>
    </row>
    <row r="31" spans="14:15" x14ac:dyDescent="0.4">
      <c r="N31" s="59"/>
    </row>
    <row r="32" spans="14:15" x14ac:dyDescent="0.4">
      <c r="N32" s="59"/>
    </row>
    <row r="33" spans="14:15" x14ac:dyDescent="0.4">
      <c r="N33" s="59"/>
    </row>
    <row r="34" spans="14:15" x14ac:dyDescent="0.4">
      <c r="N34" s="59"/>
    </row>
    <row r="35" spans="14:15" x14ac:dyDescent="0.4">
      <c r="N35" s="59"/>
    </row>
    <row r="36" spans="14:15" x14ac:dyDescent="0.4">
      <c r="N36" s="59"/>
      <c r="O36" s="60"/>
    </row>
    <row r="37" spans="14:15" x14ac:dyDescent="0.4">
      <c r="N37" s="59"/>
    </row>
    <row r="38" spans="14:15" x14ac:dyDescent="0.4">
      <c r="N38" s="59"/>
    </row>
    <row r="39" spans="14:15" x14ac:dyDescent="0.4">
      <c r="N39" s="59"/>
      <c r="O39" s="60"/>
    </row>
    <row r="40" spans="14:15" x14ac:dyDescent="0.4">
      <c r="N40" s="59"/>
    </row>
    <row r="41" spans="14:15" x14ac:dyDescent="0.4">
      <c r="N41" s="59"/>
    </row>
    <row r="42" spans="14:15" x14ac:dyDescent="0.4">
      <c r="N42" s="59"/>
    </row>
    <row r="43" spans="14:15" x14ac:dyDescent="0.4">
      <c r="N43" s="59"/>
      <c r="O43" s="60"/>
    </row>
    <row r="44" spans="14:15" x14ac:dyDescent="0.4">
      <c r="N44" s="59"/>
    </row>
    <row r="45" spans="14:15" x14ac:dyDescent="0.4">
      <c r="N45" s="59"/>
    </row>
    <row r="46" spans="14:15" x14ac:dyDescent="0.4">
      <c r="N46" s="59"/>
    </row>
    <row r="47" spans="14:15" x14ac:dyDescent="0.4">
      <c r="N47" s="59"/>
    </row>
    <row r="48" spans="14:15" x14ac:dyDescent="0.4">
      <c r="N48" s="59"/>
    </row>
    <row r="49" spans="14:15" x14ac:dyDescent="0.4">
      <c r="N49" s="59"/>
    </row>
    <row r="50" spans="14:15" x14ac:dyDescent="0.4">
      <c r="N50" s="59"/>
      <c r="O50" s="60"/>
    </row>
    <row r="51" spans="14:15" x14ac:dyDescent="0.4">
      <c r="N51" s="59"/>
    </row>
    <row r="52" spans="14:15" x14ac:dyDescent="0.4">
      <c r="N52" s="59"/>
    </row>
    <row r="53" spans="14:15" x14ac:dyDescent="0.4">
      <c r="N53" s="59"/>
      <c r="O53" s="60"/>
    </row>
    <row r="54" spans="14:15" x14ac:dyDescent="0.4">
      <c r="N54" s="59"/>
      <c r="O54" s="60"/>
    </row>
    <row r="55" spans="14:15" x14ac:dyDescent="0.4">
      <c r="N55" s="59"/>
    </row>
    <row r="56" spans="14:15" x14ac:dyDescent="0.4">
      <c r="N56" s="59"/>
    </row>
    <row r="57" spans="14:15" x14ac:dyDescent="0.4">
      <c r="N57" s="59"/>
    </row>
    <row r="58" spans="14:15" x14ac:dyDescent="0.4">
      <c r="N58" s="59"/>
    </row>
    <row r="59" spans="14:15" x14ac:dyDescent="0.4">
      <c r="N59" s="59"/>
      <c r="O59" s="60"/>
    </row>
    <row r="60" spans="14:15" x14ac:dyDescent="0.4">
      <c r="N60" s="59"/>
    </row>
    <row r="61" spans="14:15" x14ac:dyDescent="0.4">
      <c r="N61" s="59"/>
    </row>
    <row r="62" spans="14:15" x14ac:dyDescent="0.4">
      <c r="N62" s="59"/>
    </row>
    <row r="63" spans="14:15" x14ac:dyDescent="0.4">
      <c r="N63" s="59"/>
    </row>
    <row r="64" spans="14:15" x14ac:dyDescent="0.4">
      <c r="N64" s="59"/>
    </row>
    <row r="65" spans="14:15" x14ac:dyDescent="0.4">
      <c r="N65" s="59"/>
      <c r="O65" s="60"/>
    </row>
    <row r="66" spans="14:15" x14ac:dyDescent="0.4">
      <c r="N66" s="59"/>
    </row>
    <row r="67" spans="14:15" x14ac:dyDescent="0.4">
      <c r="N67" s="59"/>
      <c r="O67" s="60"/>
    </row>
    <row r="68" spans="14:15" x14ac:dyDescent="0.4">
      <c r="N68" s="59"/>
    </row>
    <row r="69" spans="14:15" x14ac:dyDescent="0.4">
      <c r="N69" s="59"/>
      <c r="O69" s="60"/>
    </row>
    <row r="70" spans="14:15" x14ac:dyDescent="0.4">
      <c r="N70" s="59"/>
    </row>
    <row r="71" spans="14:15" x14ac:dyDescent="0.4">
      <c r="N71" s="59"/>
    </row>
    <row r="72" spans="14:15" x14ac:dyDescent="0.4">
      <c r="N72" s="59"/>
    </row>
    <row r="73" spans="14:15" x14ac:dyDescent="0.4">
      <c r="N73" s="59"/>
      <c r="O73" s="60"/>
    </row>
    <row r="74" spans="14:15" x14ac:dyDescent="0.4">
      <c r="N74" s="59"/>
    </row>
    <row r="75" spans="14:15" x14ac:dyDescent="0.4">
      <c r="N75" s="59"/>
    </row>
    <row r="76" spans="14:15" x14ac:dyDescent="0.4">
      <c r="N76" s="59"/>
    </row>
    <row r="77" spans="14:15" x14ac:dyDescent="0.4">
      <c r="N77" s="59"/>
    </row>
    <row r="78" spans="14:15" x14ac:dyDescent="0.4">
      <c r="N78" s="59"/>
    </row>
    <row r="79" spans="14:15" x14ac:dyDescent="0.4">
      <c r="N79" s="59"/>
    </row>
    <row r="80" spans="14:15" x14ac:dyDescent="0.4">
      <c r="N80" s="59"/>
      <c r="O80" s="60"/>
    </row>
    <row r="81" spans="14:15" x14ac:dyDescent="0.4">
      <c r="N81" s="59"/>
    </row>
    <row r="82" spans="14:15" x14ac:dyDescent="0.4">
      <c r="N82" s="59"/>
      <c r="O82" s="60"/>
    </row>
    <row r="83" spans="14:15" x14ac:dyDescent="0.4">
      <c r="N83" s="59"/>
    </row>
    <row r="84" spans="14:15" x14ac:dyDescent="0.4">
      <c r="N84" s="59"/>
    </row>
    <row r="85" spans="14:15" x14ac:dyDescent="0.4">
      <c r="N85" s="59"/>
    </row>
    <row r="86" spans="14:15" x14ac:dyDescent="0.4">
      <c r="N86" s="59"/>
    </row>
    <row r="87" spans="14:15" x14ac:dyDescent="0.4">
      <c r="N87" s="59"/>
    </row>
    <row r="88" spans="14:15" x14ac:dyDescent="0.4">
      <c r="N88" s="59"/>
    </row>
    <row r="89" spans="14:15" x14ac:dyDescent="0.4">
      <c r="N89" s="59"/>
      <c r="O89" s="60"/>
    </row>
    <row r="90" spans="14:15" x14ac:dyDescent="0.4">
      <c r="N90" s="59"/>
      <c r="O90" s="60"/>
    </row>
    <row r="91" spans="14:15" x14ac:dyDescent="0.4">
      <c r="N91" s="59"/>
      <c r="O91" s="60"/>
    </row>
    <row r="92" spans="14:15" x14ac:dyDescent="0.4">
      <c r="N92" s="59"/>
    </row>
    <row r="93" spans="14:15" x14ac:dyDescent="0.4">
      <c r="N93" s="59"/>
    </row>
    <row r="94" spans="14:15" x14ac:dyDescent="0.4">
      <c r="N94" s="59"/>
    </row>
    <row r="95" spans="14:15" x14ac:dyDescent="0.4">
      <c r="N95" s="59"/>
    </row>
    <row r="96" spans="14:15" x14ac:dyDescent="0.4">
      <c r="N96" s="59"/>
    </row>
    <row r="97" spans="14:15" x14ac:dyDescent="0.4">
      <c r="N97" s="59"/>
    </row>
    <row r="98" spans="14:15" x14ac:dyDescent="0.4">
      <c r="N98" s="59"/>
    </row>
    <row r="99" spans="14:15" x14ac:dyDescent="0.4">
      <c r="N99" s="59"/>
      <c r="O99" s="60"/>
    </row>
    <row r="100" spans="14:15" x14ac:dyDescent="0.4">
      <c r="N100" s="59"/>
    </row>
    <row r="101" spans="14:15" x14ac:dyDescent="0.4">
      <c r="N101" s="59"/>
    </row>
    <row r="102" spans="14:15" x14ac:dyDescent="0.4">
      <c r="N102" s="59"/>
      <c r="O102" s="60"/>
    </row>
    <row r="103" spans="14:15" x14ac:dyDescent="0.4">
      <c r="N103" s="59"/>
    </row>
    <row r="104" spans="14:15" x14ac:dyDescent="0.4">
      <c r="N104" s="59"/>
      <c r="O104" s="60"/>
    </row>
    <row r="105" spans="14:15" x14ac:dyDescent="0.4">
      <c r="N105" s="59"/>
      <c r="O105" s="60"/>
    </row>
    <row r="106" spans="14:15" x14ac:dyDescent="0.4">
      <c r="N106" s="59"/>
      <c r="O106" s="60"/>
    </row>
    <row r="107" spans="14:15" x14ac:dyDescent="0.4">
      <c r="N107" s="59"/>
      <c r="O107" s="60"/>
    </row>
    <row r="108" spans="14:15" x14ac:dyDescent="0.4">
      <c r="N108" s="59"/>
    </row>
    <row r="109" spans="14:15" x14ac:dyDescent="0.4">
      <c r="N109" s="59"/>
    </row>
    <row r="110" spans="14:15" x14ac:dyDescent="0.4">
      <c r="N110" s="59"/>
      <c r="O110" s="60"/>
    </row>
    <row r="111" spans="14:15" x14ac:dyDescent="0.4">
      <c r="N111" s="59"/>
    </row>
    <row r="112" spans="14:15" x14ac:dyDescent="0.4">
      <c r="N112" s="59"/>
      <c r="O112" s="60"/>
    </row>
    <row r="113" spans="14:15" x14ac:dyDescent="0.4">
      <c r="N113" s="59"/>
    </row>
    <row r="114" spans="14:15" x14ac:dyDescent="0.4">
      <c r="N114" s="59"/>
    </row>
    <row r="115" spans="14:15" x14ac:dyDescent="0.4">
      <c r="N115" s="59"/>
      <c r="O115" s="60"/>
    </row>
    <row r="116" spans="14:15" x14ac:dyDescent="0.4">
      <c r="N116" s="59"/>
    </row>
    <row r="117" spans="14:15" x14ac:dyDescent="0.4">
      <c r="N117" s="59"/>
      <c r="O117" s="60"/>
    </row>
    <row r="118" spans="14:15" x14ac:dyDescent="0.4">
      <c r="N118" s="59"/>
    </row>
    <row r="119" spans="14:15" x14ac:dyDescent="0.4">
      <c r="N119" s="59"/>
    </row>
    <row r="120" spans="14:15" x14ac:dyDescent="0.4">
      <c r="N120" s="59"/>
    </row>
    <row r="121" spans="14:15" x14ac:dyDescent="0.4">
      <c r="N121" s="59"/>
    </row>
    <row r="122" spans="14:15" x14ac:dyDescent="0.4">
      <c r="N122" s="59"/>
    </row>
    <row r="123" spans="14:15" x14ac:dyDescent="0.4">
      <c r="N123" s="59"/>
    </row>
    <row r="124" spans="14:15" x14ac:dyDescent="0.4">
      <c r="N124" s="59"/>
    </row>
    <row r="125" spans="14:15" x14ac:dyDescent="0.4">
      <c r="N125" s="59"/>
    </row>
    <row r="126" spans="14:15" x14ac:dyDescent="0.4">
      <c r="N126" s="59"/>
      <c r="O126" s="60"/>
    </row>
    <row r="127" spans="14:15" x14ac:dyDescent="0.4">
      <c r="N127" s="59"/>
    </row>
    <row r="128" spans="14:15" x14ac:dyDescent="0.4">
      <c r="N128" s="59"/>
    </row>
    <row r="129" spans="14:15" x14ac:dyDescent="0.4">
      <c r="N129" s="59"/>
    </row>
    <row r="130" spans="14:15" x14ac:dyDescent="0.4">
      <c r="N130" s="59"/>
    </row>
    <row r="131" spans="14:15" x14ac:dyDescent="0.4">
      <c r="N131" s="59"/>
    </row>
    <row r="132" spans="14:15" x14ac:dyDescent="0.4">
      <c r="N132" s="59"/>
    </row>
    <row r="133" spans="14:15" x14ac:dyDescent="0.4">
      <c r="N133" s="59"/>
      <c r="O133" s="60"/>
    </row>
    <row r="134" spans="14:15" x14ac:dyDescent="0.4">
      <c r="N134" s="59"/>
    </row>
    <row r="135" spans="14:15" x14ac:dyDescent="0.4">
      <c r="N135" s="59"/>
    </row>
    <row r="136" spans="14:15" x14ac:dyDescent="0.4">
      <c r="N136" s="59"/>
    </row>
    <row r="137" spans="14:15" x14ac:dyDescent="0.4">
      <c r="N137" s="59"/>
    </row>
    <row r="138" spans="14:15" x14ac:dyDescent="0.4">
      <c r="N138" s="59"/>
    </row>
    <row r="139" spans="14:15" x14ac:dyDescent="0.4">
      <c r="N139" s="59"/>
    </row>
    <row r="140" spans="14:15" x14ac:dyDescent="0.4">
      <c r="N140" s="59"/>
    </row>
    <row r="141" spans="14:15" x14ac:dyDescent="0.4">
      <c r="N141" s="59"/>
    </row>
    <row r="142" spans="14:15" x14ac:dyDescent="0.4">
      <c r="N142" s="59"/>
    </row>
    <row r="143" spans="14:15" x14ac:dyDescent="0.4">
      <c r="N143" s="59"/>
      <c r="O143" s="60"/>
    </row>
    <row r="144" spans="14:15" x14ac:dyDescent="0.4">
      <c r="N144" s="59"/>
    </row>
    <row r="145" spans="14:15" x14ac:dyDescent="0.4">
      <c r="N145" s="59"/>
    </row>
    <row r="146" spans="14:15" x14ac:dyDescent="0.4">
      <c r="N146" s="59"/>
    </row>
    <row r="147" spans="14:15" x14ac:dyDescent="0.4">
      <c r="N147" s="59"/>
    </row>
    <row r="148" spans="14:15" x14ac:dyDescent="0.4">
      <c r="N148" s="59"/>
    </row>
    <row r="149" spans="14:15" x14ac:dyDescent="0.4">
      <c r="N149" s="59"/>
    </row>
    <row r="150" spans="14:15" x14ac:dyDescent="0.4">
      <c r="N150" s="59"/>
    </row>
    <row r="151" spans="14:15" x14ac:dyDescent="0.4">
      <c r="N151" s="59"/>
      <c r="O151" s="60"/>
    </row>
    <row r="152" spans="14:15" x14ac:dyDescent="0.4">
      <c r="N152" s="59"/>
      <c r="O152" s="60"/>
    </row>
    <row r="153" spans="14:15" x14ac:dyDescent="0.4">
      <c r="N153" s="59"/>
    </row>
    <row r="154" spans="14:15" x14ac:dyDescent="0.4">
      <c r="N154" s="59"/>
      <c r="O154" s="60"/>
    </row>
    <row r="155" spans="14:15" x14ac:dyDescent="0.4">
      <c r="N155" s="59"/>
    </row>
    <row r="156" spans="14:15" x14ac:dyDescent="0.4">
      <c r="N156" s="59"/>
    </row>
    <row r="157" spans="14:15" x14ac:dyDescent="0.4">
      <c r="N157" s="59"/>
      <c r="O157" s="60"/>
    </row>
    <row r="158" spans="14:15" x14ac:dyDescent="0.4">
      <c r="N158" s="59"/>
    </row>
    <row r="159" spans="14:15" x14ac:dyDescent="0.4">
      <c r="N159" s="59"/>
      <c r="O159" s="60"/>
    </row>
    <row r="160" spans="14:15" x14ac:dyDescent="0.4">
      <c r="N160" s="59"/>
    </row>
    <row r="161" spans="14:15" x14ac:dyDescent="0.4">
      <c r="N161" s="59"/>
    </row>
    <row r="162" spans="14:15" x14ac:dyDescent="0.4">
      <c r="N162" s="59"/>
      <c r="O162" s="60"/>
    </row>
    <row r="163" spans="14:15" x14ac:dyDescent="0.4">
      <c r="N163" s="59"/>
    </row>
    <row r="164" spans="14:15" x14ac:dyDescent="0.4">
      <c r="N164" s="59"/>
    </row>
    <row r="165" spans="14:15" x14ac:dyDescent="0.4">
      <c r="N165" s="59"/>
    </row>
    <row r="166" spans="14:15" x14ac:dyDescent="0.4">
      <c r="N166" s="59"/>
      <c r="O166" s="60"/>
    </row>
    <row r="167" spans="14:15" x14ac:dyDescent="0.4">
      <c r="N167" s="59"/>
    </row>
    <row r="168" spans="14:15" x14ac:dyDescent="0.4">
      <c r="N168" s="59"/>
      <c r="O168" s="60"/>
    </row>
    <row r="169" spans="14:15" x14ac:dyDescent="0.4">
      <c r="N169" s="59"/>
      <c r="O169" s="60"/>
    </row>
    <row r="170" spans="14:15" x14ac:dyDescent="0.4">
      <c r="N170" s="59"/>
    </row>
    <row r="171" spans="14:15" x14ac:dyDescent="0.4">
      <c r="N171" s="59"/>
    </row>
    <row r="172" spans="14:15" x14ac:dyDescent="0.4">
      <c r="N172" s="59"/>
    </row>
    <row r="173" spans="14:15" x14ac:dyDescent="0.4">
      <c r="N173" s="59"/>
    </row>
    <row r="174" spans="14:15" x14ac:dyDescent="0.4">
      <c r="N174" s="59"/>
    </row>
    <row r="175" spans="14:15" x14ac:dyDescent="0.4">
      <c r="N175" s="59"/>
    </row>
    <row r="176" spans="14:15" x14ac:dyDescent="0.4">
      <c r="N176" s="59"/>
    </row>
    <row r="177" spans="14:15" x14ac:dyDescent="0.4">
      <c r="N177" s="59"/>
    </row>
    <row r="178" spans="14:15" x14ac:dyDescent="0.4">
      <c r="N178" s="59"/>
    </row>
    <row r="179" spans="14:15" x14ac:dyDescent="0.4">
      <c r="N179" s="59"/>
    </row>
    <row r="180" spans="14:15" x14ac:dyDescent="0.4">
      <c r="N180" s="59"/>
      <c r="O180" s="60"/>
    </row>
    <row r="181" spans="14:15" x14ac:dyDescent="0.4">
      <c r="N181" s="59"/>
    </row>
    <row r="182" spans="14:15" x14ac:dyDescent="0.4">
      <c r="N182" s="59"/>
    </row>
    <row r="183" spans="14:15" x14ac:dyDescent="0.4">
      <c r="N183" s="59"/>
    </row>
    <row r="184" spans="14:15" x14ac:dyDescent="0.4">
      <c r="N184" s="59"/>
      <c r="O184" s="60"/>
    </row>
    <row r="185" spans="14:15" x14ac:dyDescent="0.4">
      <c r="N185" s="59"/>
      <c r="O185" s="60"/>
    </row>
    <row r="186" spans="14:15" x14ac:dyDescent="0.4">
      <c r="N186" s="59"/>
      <c r="O186" s="60"/>
    </row>
    <row r="187" spans="14:15" x14ac:dyDescent="0.4">
      <c r="N187" s="59"/>
      <c r="O187" s="60"/>
    </row>
    <row r="188" spans="14:15" x14ac:dyDescent="0.4">
      <c r="N188" s="59"/>
    </row>
    <row r="189" spans="14:15" x14ac:dyDescent="0.4">
      <c r="N189" s="59"/>
    </row>
    <row r="190" spans="14:15" x14ac:dyDescent="0.4">
      <c r="N190" s="59"/>
    </row>
    <row r="191" spans="14:15" x14ac:dyDescent="0.4">
      <c r="N191" s="59"/>
    </row>
    <row r="192" spans="14:15" x14ac:dyDescent="0.4">
      <c r="N192" s="59"/>
    </row>
    <row r="193" spans="14:15" x14ac:dyDescent="0.4">
      <c r="N193" s="59"/>
    </row>
    <row r="194" spans="14:15" x14ac:dyDescent="0.4">
      <c r="N194" s="59"/>
    </row>
    <row r="195" spans="14:15" x14ac:dyDescent="0.4">
      <c r="N195" s="59"/>
    </row>
    <row r="196" spans="14:15" x14ac:dyDescent="0.4">
      <c r="N196" s="59"/>
    </row>
    <row r="197" spans="14:15" x14ac:dyDescent="0.4">
      <c r="N197" s="59"/>
    </row>
    <row r="198" spans="14:15" x14ac:dyDescent="0.4">
      <c r="N198" s="59"/>
      <c r="O198" s="60"/>
    </row>
    <row r="199" spans="14:15" x14ac:dyDescent="0.4">
      <c r="N199" s="59"/>
    </row>
    <row r="200" spans="14:15" x14ac:dyDescent="0.4">
      <c r="N200" s="59"/>
      <c r="O200" s="60"/>
    </row>
    <row r="201" spans="14:15" x14ac:dyDescent="0.4">
      <c r="N201" s="59"/>
      <c r="O201" s="60"/>
    </row>
    <row r="202" spans="14:15" x14ac:dyDescent="0.4">
      <c r="N202" s="59"/>
      <c r="O202" s="60"/>
    </row>
    <row r="203" spans="14:15" x14ac:dyDescent="0.4">
      <c r="N203" s="59"/>
      <c r="O203" s="60"/>
    </row>
    <row r="204" spans="14:15" x14ac:dyDescent="0.4">
      <c r="N204" s="59"/>
    </row>
    <row r="205" spans="14:15" x14ac:dyDescent="0.4">
      <c r="N205" s="59"/>
    </row>
    <row r="206" spans="14:15" x14ac:dyDescent="0.4">
      <c r="N206" s="59"/>
    </row>
    <row r="207" spans="14:15" x14ac:dyDescent="0.4">
      <c r="N207" s="59"/>
    </row>
    <row r="208" spans="14:15" x14ac:dyDescent="0.4">
      <c r="N208" s="59"/>
    </row>
    <row r="209" spans="14:15" x14ac:dyDescent="0.4">
      <c r="N209" s="59"/>
      <c r="O209" s="60"/>
    </row>
    <row r="210" spans="14:15" x14ac:dyDescent="0.4">
      <c r="N210" s="59"/>
    </row>
    <row r="211" spans="14:15" x14ac:dyDescent="0.4">
      <c r="N211" s="59"/>
    </row>
    <row r="212" spans="14:15" x14ac:dyDescent="0.4">
      <c r="N212" s="59"/>
      <c r="O212" s="60"/>
    </row>
    <row r="213" spans="14:15" x14ac:dyDescent="0.4">
      <c r="N213" s="59"/>
    </row>
    <row r="214" spans="14:15" x14ac:dyDescent="0.4">
      <c r="N214" s="59"/>
      <c r="O214" s="60"/>
    </row>
    <row r="215" spans="14:15" x14ac:dyDescent="0.4">
      <c r="N215" s="59"/>
    </row>
    <row r="216" spans="14:15" x14ac:dyDescent="0.4">
      <c r="N216" s="59"/>
    </row>
    <row r="217" spans="14:15" x14ac:dyDescent="0.4">
      <c r="N217" s="59"/>
    </row>
    <row r="218" spans="14:15" x14ac:dyDescent="0.4">
      <c r="N218" s="59"/>
      <c r="O218" s="60"/>
    </row>
    <row r="219" spans="14:15" x14ac:dyDescent="0.4">
      <c r="N219" s="59"/>
      <c r="O219" s="60"/>
    </row>
    <row r="220" spans="14:15" x14ac:dyDescent="0.4">
      <c r="N220" s="59"/>
    </row>
    <row r="221" spans="14:15" x14ac:dyDescent="0.4">
      <c r="N221" s="59"/>
    </row>
    <row r="222" spans="14:15" x14ac:dyDescent="0.4">
      <c r="N222" s="59"/>
    </row>
    <row r="223" spans="14:15" x14ac:dyDescent="0.4">
      <c r="N223" s="59"/>
      <c r="O223" s="60"/>
    </row>
    <row r="224" spans="14:15" x14ac:dyDescent="0.4">
      <c r="N224" s="59"/>
    </row>
    <row r="225" spans="14:15" x14ac:dyDescent="0.4">
      <c r="N225" s="59"/>
    </row>
    <row r="226" spans="14:15" x14ac:dyDescent="0.4">
      <c r="N226" s="59"/>
    </row>
    <row r="227" spans="14:15" x14ac:dyDescent="0.4">
      <c r="N227" s="59"/>
    </row>
    <row r="228" spans="14:15" x14ac:dyDescent="0.4">
      <c r="N228" s="59"/>
    </row>
    <row r="229" spans="14:15" x14ac:dyDescent="0.4">
      <c r="N229" s="59"/>
    </row>
    <row r="230" spans="14:15" x14ac:dyDescent="0.4">
      <c r="N230" s="59"/>
    </row>
    <row r="231" spans="14:15" x14ac:dyDescent="0.4">
      <c r="N231" s="59"/>
    </row>
    <row r="232" spans="14:15" x14ac:dyDescent="0.4">
      <c r="N232" s="59"/>
    </row>
    <row r="233" spans="14:15" x14ac:dyDescent="0.4">
      <c r="N233" s="59"/>
    </row>
    <row r="234" spans="14:15" x14ac:dyDescent="0.4">
      <c r="N234" s="59"/>
    </row>
    <row r="235" spans="14:15" x14ac:dyDescent="0.4">
      <c r="N235" s="59"/>
    </row>
    <row r="236" spans="14:15" x14ac:dyDescent="0.4">
      <c r="N236" s="59"/>
      <c r="O236" s="60"/>
    </row>
    <row r="237" spans="14:15" x14ac:dyDescent="0.4">
      <c r="N237" s="59"/>
    </row>
    <row r="238" spans="14:15" x14ac:dyDescent="0.4">
      <c r="N238" s="59"/>
    </row>
    <row r="239" spans="14:15" x14ac:dyDescent="0.4">
      <c r="N239" s="59"/>
    </row>
    <row r="240" spans="14:15" x14ac:dyDescent="0.4">
      <c r="N240" s="59"/>
    </row>
    <row r="241" spans="14:15" x14ac:dyDescent="0.4">
      <c r="N241" s="59"/>
    </row>
    <row r="242" spans="14:15" x14ac:dyDescent="0.4">
      <c r="N242" s="59"/>
    </row>
    <row r="243" spans="14:15" x14ac:dyDescent="0.4">
      <c r="N243" s="59"/>
      <c r="O243" s="60"/>
    </row>
    <row r="244" spans="14:15" x14ac:dyDescent="0.4">
      <c r="N244" s="59"/>
    </row>
    <row r="245" spans="14:15" x14ac:dyDescent="0.4">
      <c r="N245" s="59"/>
    </row>
    <row r="246" spans="14:15" x14ac:dyDescent="0.4">
      <c r="N246" s="59"/>
    </row>
    <row r="247" spans="14:15" x14ac:dyDescent="0.4">
      <c r="N247" s="59"/>
    </row>
    <row r="248" spans="14:15" x14ac:dyDescent="0.4">
      <c r="N248" s="59"/>
    </row>
    <row r="249" spans="14:15" x14ac:dyDescent="0.4">
      <c r="N249" s="59"/>
    </row>
    <row r="250" spans="14:15" x14ac:dyDescent="0.4">
      <c r="N250" s="59"/>
      <c r="O250" s="60"/>
    </row>
    <row r="251" spans="14:15" x14ac:dyDescent="0.4">
      <c r="N251" s="59"/>
    </row>
    <row r="252" spans="14:15" x14ac:dyDescent="0.4">
      <c r="N252" s="59"/>
      <c r="O252" s="60"/>
    </row>
    <row r="253" spans="14:15" x14ac:dyDescent="0.4">
      <c r="N253" s="59"/>
    </row>
    <row r="254" spans="14:15" x14ac:dyDescent="0.4">
      <c r="N254" s="59"/>
    </row>
    <row r="255" spans="14:15" x14ac:dyDescent="0.4">
      <c r="N255" s="59"/>
    </row>
    <row r="256" spans="14:15" x14ac:dyDescent="0.4">
      <c r="N256" s="59"/>
      <c r="O256" s="60"/>
    </row>
    <row r="257" spans="14:15" x14ac:dyDescent="0.4">
      <c r="N257" s="59"/>
    </row>
    <row r="258" spans="14:15" x14ac:dyDescent="0.4">
      <c r="N258" s="59"/>
    </row>
    <row r="259" spans="14:15" x14ac:dyDescent="0.4">
      <c r="N259" s="59"/>
    </row>
    <row r="260" spans="14:15" x14ac:dyDescent="0.4">
      <c r="N260" s="59"/>
    </row>
    <row r="261" spans="14:15" x14ac:dyDescent="0.4">
      <c r="N261" s="59"/>
    </row>
    <row r="262" spans="14:15" x14ac:dyDescent="0.4">
      <c r="N262" s="59"/>
    </row>
    <row r="263" spans="14:15" x14ac:dyDescent="0.4">
      <c r="N263" s="59"/>
    </row>
    <row r="264" spans="14:15" x14ac:dyDescent="0.4">
      <c r="N264" s="59"/>
    </row>
    <row r="265" spans="14:15" x14ac:dyDescent="0.4">
      <c r="N265" s="59"/>
      <c r="O265" s="60"/>
    </row>
    <row r="266" spans="14:15" x14ac:dyDescent="0.4">
      <c r="N266" s="59"/>
    </row>
    <row r="267" spans="14:15" x14ac:dyDescent="0.4">
      <c r="N267" s="59"/>
    </row>
    <row r="268" spans="14:15" x14ac:dyDescent="0.4">
      <c r="N268" s="59"/>
    </row>
    <row r="269" spans="14:15" x14ac:dyDescent="0.4">
      <c r="N269" s="59"/>
    </row>
    <row r="270" spans="14:15" x14ac:dyDescent="0.4">
      <c r="N270" s="59"/>
    </row>
    <row r="271" spans="14:15" x14ac:dyDescent="0.4">
      <c r="N271" s="59"/>
    </row>
    <row r="272" spans="14:15" x14ac:dyDescent="0.4">
      <c r="N272" s="59"/>
    </row>
    <row r="273" spans="14:15" x14ac:dyDescent="0.4">
      <c r="N273" s="59"/>
    </row>
    <row r="274" spans="14:15" x14ac:dyDescent="0.4">
      <c r="N274" s="59"/>
    </row>
    <row r="275" spans="14:15" x14ac:dyDescent="0.4">
      <c r="N275" s="59"/>
    </row>
    <row r="276" spans="14:15" x14ac:dyDescent="0.4">
      <c r="N276" s="59"/>
    </row>
    <row r="277" spans="14:15" x14ac:dyDescent="0.4">
      <c r="N277" s="59"/>
      <c r="O277" s="60"/>
    </row>
    <row r="278" spans="14:15" x14ac:dyDescent="0.4">
      <c r="N278" s="59"/>
    </row>
    <row r="279" spans="14:15" x14ac:dyDescent="0.4">
      <c r="N279" s="59"/>
    </row>
    <row r="280" spans="14:15" x14ac:dyDescent="0.4">
      <c r="N280" s="59"/>
      <c r="O280" s="60"/>
    </row>
    <row r="281" spans="14:15" x14ac:dyDescent="0.4">
      <c r="N281" s="59"/>
    </row>
    <row r="282" spans="14:15" x14ac:dyDescent="0.4">
      <c r="N282" s="59"/>
    </row>
    <row r="283" spans="14:15" x14ac:dyDescent="0.4">
      <c r="N283" s="59"/>
    </row>
    <row r="284" spans="14:15" x14ac:dyDescent="0.4">
      <c r="N284" s="59"/>
    </row>
    <row r="285" spans="14:15" x14ac:dyDescent="0.4">
      <c r="N285" s="59"/>
      <c r="O285" s="60"/>
    </row>
    <row r="286" spans="14:15" x14ac:dyDescent="0.4">
      <c r="N286" s="59"/>
    </row>
    <row r="287" spans="14:15" x14ac:dyDescent="0.4">
      <c r="N287" s="59"/>
    </row>
    <row r="288" spans="14:15" x14ac:dyDescent="0.4">
      <c r="N288" s="59"/>
    </row>
    <row r="289" spans="14:15" x14ac:dyDescent="0.4">
      <c r="N289" s="59"/>
    </row>
    <row r="290" spans="14:15" x14ac:dyDescent="0.4">
      <c r="N290" s="59"/>
    </row>
    <row r="291" spans="14:15" x14ac:dyDescent="0.4">
      <c r="N291" s="59"/>
    </row>
    <row r="292" spans="14:15" x14ac:dyDescent="0.4">
      <c r="N292" s="59"/>
    </row>
    <row r="293" spans="14:15" x14ac:dyDescent="0.4">
      <c r="N293" s="59"/>
    </row>
    <row r="294" spans="14:15" x14ac:dyDescent="0.4">
      <c r="N294" s="59"/>
    </row>
    <row r="295" spans="14:15" x14ac:dyDescent="0.4">
      <c r="N295" s="59"/>
    </row>
    <row r="296" spans="14:15" x14ac:dyDescent="0.4">
      <c r="N296" s="59"/>
    </row>
    <row r="297" spans="14:15" x14ac:dyDescent="0.4">
      <c r="N297" s="59"/>
      <c r="O297" s="60"/>
    </row>
    <row r="298" spans="14:15" x14ac:dyDescent="0.4">
      <c r="N298" s="59"/>
      <c r="O298" s="60"/>
    </row>
    <row r="299" spans="14:15" x14ac:dyDescent="0.4">
      <c r="N299" s="59"/>
    </row>
    <row r="300" spans="14:15" x14ac:dyDescent="0.4">
      <c r="N300" s="59"/>
    </row>
    <row r="301" spans="14:15" x14ac:dyDescent="0.4">
      <c r="N301" s="59"/>
    </row>
    <row r="302" spans="14:15" x14ac:dyDescent="0.4">
      <c r="N302" s="59"/>
      <c r="O302" s="60"/>
    </row>
    <row r="303" spans="14:15" x14ac:dyDescent="0.4">
      <c r="N303" s="59"/>
    </row>
    <row r="304" spans="14:15" x14ac:dyDescent="0.4">
      <c r="N304" s="59"/>
      <c r="O304" s="60"/>
    </row>
    <row r="305" spans="14:15" x14ac:dyDescent="0.4">
      <c r="N305" s="59"/>
      <c r="O305" s="60"/>
    </row>
    <row r="306" spans="14:15" x14ac:dyDescent="0.4">
      <c r="N306" s="59"/>
    </row>
    <row r="307" spans="14:15" x14ac:dyDescent="0.4">
      <c r="N307" s="59"/>
    </row>
    <row r="308" spans="14:15" x14ac:dyDescent="0.4">
      <c r="N308" s="59"/>
      <c r="O308" s="60"/>
    </row>
    <row r="309" spans="14:15" x14ac:dyDescent="0.4">
      <c r="N309" s="59"/>
    </row>
    <row r="310" spans="14:15" x14ac:dyDescent="0.4">
      <c r="N310" s="59"/>
      <c r="O310" s="60"/>
    </row>
    <row r="311" spans="14:15" x14ac:dyDescent="0.4">
      <c r="N311" s="59"/>
    </row>
    <row r="312" spans="14:15" x14ac:dyDescent="0.4">
      <c r="N312" s="59"/>
    </row>
    <row r="313" spans="14:15" x14ac:dyDescent="0.4">
      <c r="N313" s="59"/>
    </row>
    <row r="314" spans="14:15" x14ac:dyDescent="0.4">
      <c r="N314" s="59"/>
    </row>
    <row r="315" spans="14:15" x14ac:dyDescent="0.4">
      <c r="N315" s="59"/>
    </row>
    <row r="316" spans="14:15" x14ac:dyDescent="0.4">
      <c r="N316" s="59"/>
    </row>
    <row r="317" spans="14:15" x14ac:dyDescent="0.4">
      <c r="N317" s="59"/>
      <c r="O317" s="60"/>
    </row>
    <row r="318" spans="14:15" x14ac:dyDescent="0.4">
      <c r="N318" s="59"/>
    </row>
    <row r="319" spans="14:15" x14ac:dyDescent="0.4">
      <c r="N319" s="59"/>
      <c r="O319" s="60"/>
    </row>
    <row r="320" spans="14:15" x14ac:dyDescent="0.4">
      <c r="N320" s="59"/>
    </row>
    <row r="321" spans="14:15" x14ac:dyDescent="0.4">
      <c r="N321" s="59"/>
    </row>
    <row r="322" spans="14:15" x14ac:dyDescent="0.4">
      <c r="N322" s="59"/>
      <c r="O322" s="60"/>
    </row>
    <row r="323" spans="14:15" x14ac:dyDescent="0.4">
      <c r="N323" s="59"/>
    </row>
    <row r="324" spans="14:15" x14ac:dyDescent="0.4">
      <c r="N324" s="59"/>
    </row>
    <row r="325" spans="14:15" x14ac:dyDescent="0.4">
      <c r="N325" s="59"/>
    </row>
    <row r="326" spans="14:15" x14ac:dyDescent="0.4">
      <c r="N326" s="59"/>
    </row>
    <row r="327" spans="14:15" x14ac:dyDescent="0.4">
      <c r="N327" s="59"/>
    </row>
    <row r="328" spans="14:15" x14ac:dyDescent="0.4">
      <c r="N328" s="59"/>
    </row>
    <row r="329" spans="14:15" x14ac:dyDescent="0.4">
      <c r="N329" s="59"/>
      <c r="O329" s="60"/>
    </row>
    <row r="330" spans="14:15" x14ac:dyDescent="0.4">
      <c r="N330" s="59"/>
    </row>
    <row r="331" spans="14:15" x14ac:dyDescent="0.4">
      <c r="N331" s="59"/>
    </row>
    <row r="332" spans="14:15" x14ac:dyDescent="0.4">
      <c r="N332" s="59"/>
    </row>
    <row r="333" spans="14:15" x14ac:dyDescent="0.4">
      <c r="N333" s="59"/>
    </row>
    <row r="334" spans="14:15" x14ac:dyDescent="0.4">
      <c r="N334" s="59"/>
    </row>
    <row r="335" spans="14:15" x14ac:dyDescent="0.4">
      <c r="N335" s="59"/>
    </row>
    <row r="336" spans="14:15" x14ac:dyDescent="0.4">
      <c r="N336" s="59"/>
      <c r="O336" s="60"/>
    </row>
    <row r="337" spans="14:15" x14ac:dyDescent="0.4">
      <c r="N337" s="59"/>
    </row>
    <row r="338" spans="14:15" x14ac:dyDescent="0.4">
      <c r="N338" s="59"/>
      <c r="O338" s="60"/>
    </row>
    <row r="339" spans="14:15" x14ac:dyDescent="0.4">
      <c r="N339" s="59"/>
    </row>
    <row r="340" spans="14:15" x14ac:dyDescent="0.4">
      <c r="N340" s="59"/>
    </row>
    <row r="341" spans="14:15" x14ac:dyDescent="0.4">
      <c r="N341" s="59"/>
    </row>
    <row r="342" spans="14:15" x14ac:dyDescent="0.4">
      <c r="N342" s="59"/>
    </row>
    <row r="343" spans="14:15" x14ac:dyDescent="0.4">
      <c r="N343" s="59"/>
    </row>
    <row r="344" spans="14:15" x14ac:dyDescent="0.4">
      <c r="N344" s="59"/>
    </row>
    <row r="345" spans="14:15" x14ac:dyDescent="0.4">
      <c r="N345" s="59"/>
    </row>
    <row r="346" spans="14:15" x14ac:dyDescent="0.4">
      <c r="N346" s="59"/>
    </row>
    <row r="347" spans="14:15" x14ac:dyDescent="0.4">
      <c r="N347" s="59"/>
      <c r="O347" s="60"/>
    </row>
    <row r="348" spans="14:15" x14ac:dyDescent="0.4">
      <c r="N348" s="59"/>
      <c r="O348" s="60"/>
    </row>
    <row r="349" spans="14:15" x14ac:dyDescent="0.4">
      <c r="N349" s="59"/>
      <c r="O349" s="60"/>
    </row>
    <row r="350" spans="14:15" x14ac:dyDescent="0.4">
      <c r="N350" s="59"/>
    </row>
    <row r="351" spans="14:15" x14ac:dyDescent="0.4">
      <c r="N351" s="59"/>
    </row>
    <row r="352" spans="14:15" x14ac:dyDescent="0.4">
      <c r="N352" s="59"/>
    </row>
    <row r="353" spans="14:15" x14ac:dyDescent="0.4">
      <c r="N353" s="59"/>
      <c r="O353" s="60"/>
    </row>
    <row r="354" spans="14:15" x14ac:dyDescent="0.4">
      <c r="N354" s="59"/>
      <c r="O354" s="60"/>
    </row>
    <row r="355" spans="14:15" x14ac:dyDescent="0.4">
      <c r="N355" s="59"/>
    </row>
    <row r="356" spans="14:15" x14ac:dyDescent="0.4">
      <c r="N356" s="59"/>
    </row>
    <row r="357" spans="14:15" x14ac:dyDescent="0.4">
      <c r="N357" s="59"/>
    </row>
    <row r="358" spans="14:15" x14ac:dyDescent="0.4">
      <c r="N358" s="59"/>
      <c r="O358" s="60"/>
    </row>
    <row r="359" spans="14:15" x14ac:dyDescent="0.4">
      <c r="N359" s="59"/>
    </row>
    <row r="360" spans="14:15" x14ac:dyDescent="0.4">
      <c r="N360" s="59"/>
    </row>
    <row r="361" spans="14:15" x14ac:dyDescent="0.4">
      <c r="N361" s="59"/>
      <c r="O361" s="60"/>
    </row>
    <row r="362" spans="14:15" x14ac:dyDescent="0.4">
      <c r="N362" s="59"/>
    </row>
    <row r="363" spans="14:15" x14ac:dyDescent="0.4">
      <c r="N363" s="59"/>
    </row>
    <row r="364" spans="14:15" x14ac:dyDescent="0.4">
      <c r="N364" s="59"/>
    </row>
    <row r="365" spans="14:15" x14ac:dyDescent="0.4">
      <c r="N365" s="59"/>
      <c r="O365" s="60"/>
    </row>
    <row r="366" spans="14:15" x14ac:dyDescent="0.4">
      <c r="N366" s="59"/>
    </row>
    <row r="367" spans="14:15" x14ac:dyDescent="0.4">
      <c r="N367" s="59"/>
      <c r="O367" s="60"/>
    </row>
    <row r="368" spans="14:15" x14ac:dyDescent="0.4">
      <c r="N368" s="59"/>
    </row>
    <row r="369" spans="14:15" x14ac:dyDescent="0.4">
      <c r="N369" s="59"/>
      <c r="O369" s="60"/>
    </row>
    <row r="370" spans="14:15" x14ac:dyDescent="0.4">
      <c r="N370" s="59"/>
      <c r="O370" s="60"/>
    </row>
    <row r="371" spans="14:15" x14ac:dyDescent="0.4">
      <c r="N371" s="59"/>
      <c r="O371" s="60"/>
    </row>
    <row r="372" spans="14:15" x14ac:dyDescent="0.4">
      <c r="N372" s="59"/>
    </row>
    <row r="373" spans="14:15" x14ac:dyDescent="0.4">
      <c r="N373" s="59"/>
    </row>
    <row r="374" spans="14:15" x14ac:dyDescent="0.4">
      <c r="N374" s="59"/>
    </row>
    <row r="375" spans="14:15" x14ac:dyDescent="0.4">
      <c r="N375" s="59"/>
      <c r="O375" s="60"/>
    </row>
    <row r="376" spans="14:15" x14ac:dyDescent="0.4">
      <c r="N376" s="59"/>
    </row>
    <row r="377" spans="14:15" x14ac:dyDescent="0.4">
      <c r="N377" s="59"/>
      <c r="O377" s="60"/>
    </row>
    <row r="378" spans="14:15" x14ac:dyDescent="0.4">
      <c r="N378" s="59"/>
      <c r="O378" s="60"/>
    </row>
    <row r="379" spans="14:15" x14ac:dyDescent="0.4">
      <c r="N379" s="59"/>
      <c r="O379" s="60"/>
    </row>
    <row r="380" spans="14:15" x14ac:dyDescent="0.4">
      <c r="N380" s="59"/>
    </row>
    <row r="381" spans="14:15" x14ac:dyDescent="0.4">
      <c r="N381" s="59"/>
      <c r="O381" s="60"/>
    </row>
    <row r="382" spans="14:15" x14ac:dyDescent="0.4">
      <c r="N382" s="59"/>
      <c r="O382" s="60"/>
    </row>
    <row r="383" spans="14:15" x14ac:dyDescent="0.4">
      <c r="N383" s="59"/>
    </row>
    <row r="384" spans="14:15" x14ac:dyDescent="0.4">
      <c r="N384" s="59"/>
    </row>
    <row r="385" spans="14:15" x14ac:dyDescent="0.4">
      <c r="N385" s="59"/>
      <c r="O385" s="60"/>
    </row>
    <row r="386" spans="14:15" x14ac:dyDescent="0.4">
      <c r="N386" s="59"/>
    </row>
    <row r="387" spans="14:15" x14ac:dyDescent="0.4">
      <c r="N387" s="59"/>
    </row>
    <row r="388" spans="14:15" x14ac:dyDescent="0.4">
      <c r="N388" s="59"/>
    </row>
    <row r="389" spans="14:15" x14ac:dyDescent="0.4">
      <c r="N389" s="59"/>
    </row>
    <row r="390" spans="14:15" x14ac:dyDescent="0.4">
      <c r="N390" s="59"/>
    </row>
    <row r="391" spans="14:15" x14ac:dyDescent="0.4">
      <c r="N391" s="59"/>
      <c r="O391" s="60"/>
    </row>
    <row r="392" spans="14:15" x14ac:dyDescent="0.4">
      <c r="N392" s="59"/>
    </row>
    <row r="393" spans="14:15" x14ac:dyDescent="0.4">
      <c r="N393" s="59"/>
      <c r="O393" s="60"/>
    </row>
    <row r="394" spans="14:15" x14ac:dyDescent="0.4">
      <c r="N394" s="59"/>
    </row>
    <row r="395" spans="14:15" x14ac:dyDescent="0.4">
      <c r="N395" s="59"/>
    </row>
    <row r="396" spans="14:15" x14ac:dyDescent="0.4">
      <c r="N396" s="59"/>
    </row>
    <row r="397" spans="14:15" x14ac:dyDescent="0.4">
      <c r="N397" s="59"/>
    </row>
    <row r="398" spans="14:15" x14ac:dyDescent="0.4">
      <c r="N398" s="59"/>
      <c r="O398" s="60"/>
    </row>
    <row r="399" spans="14:15" x14ac:dyDescent="0.4">
      <c r="N399" s="59"/>
      <c r="O399" s="60"/>
    </row>
    <row r="400" spans="14:15" x14ac:dyDescent="0.4">
      <c r="N400" s="59"/>
      <c r="O400" s="60"/>
    </row>
    <row r="401" spans="14:15" x14ac:dyDescent="0.4">
      <c r="N401" s="59"/>
      <c r="O401" s="60"/>
    </row>
    <row r="402" spans="14:15" x14ac:dyDescent="0.4">
      <c r="N402" s="59"/>
      <c r="O402" s="60"/>
    </row>
    <row r="403" spans="14:15" x14ac:dyDescent="0.4">
      <c r="N403" s="59"/>
      <c r="O403" s="60"/>
    </row>
    <row r="404" spans="14:15" x14ac:dyDescent="0.4">
      <c r="N404" s="59"/>
      <c r="O404" s="60"/>
    </row>
    <row r="405" spans="14:15" x14ac:dyDescent="0.4">
      <c r="N405" s="59"/>
      <c r="O405" s="60"/>
    </row>
    <row r="406" spans="14:15" x14ac:dyDescent="0.4">
      <c r="N406" s="59"/>
      <c r="O406" s="60"/>
    </row>
    <row r="407" spans="14:15" x14ac:dyDescent="0.4">
      <c r="N407" s="59"/>
    </row>
    <row r="408" spans="14:15" x14ac:dyDescent="0.4">
      <c r="N408" s="59"/>
    </row>
    <row r="409" spans="14:15" x14ac:dyDescent="0.4">
      <c r="N409" s="59"/>
      <c r="O409" s="60"/>
    </row>
    <row r="410" spans="14:15" x14ac:dyDescent="0.4">
      <c r="N410" s="59"/>
      <c r="O410" s="60"/>
    </row>
    <row r="411" spans="14:15" x14ac:dyDescent="0.4">
      <c r="N411" s="59"/>
      <c r="O411" s="60"/>
    </row>
    <row r="412" spans="14:15" x14ac:dyDescent="0.4">
      <c r="N412" s="59"/>
    </row>
    <row r="413" spans="14:15" x14ac:dyDescent="0.4">
      <c r="N413" s="59"/>
    </row>
    <row r="414" spans="14:15" x14ac:dyDescent="0.4">
      <c r="N414" s="59"/>
      <c r="O414" s="60"/>
    </row>
    <row r="415" spans="14:15" x14ac:dyDescent="0.4">
      <c r="N415" s="59"/>
      <c r="O415" s="60"/>
    </row>
    <row r="416" spans="14:15" x14ac:dyDescent="0.4">
      <c r="N416" s="59"/>
      <c r="O416" s="60"/>
    </row>
    <row r="417" spans="14:15" x14ac:dyDescent="0.4">
      <c r="N417" s="59"/>
    </row>
    <row r="418" spans="14:15" x14ac:dyDescent="0.4">
      <c r="N418" s="59"/>
      <c r="O418" s="60"/>
    </row>
    <row r="419" spans="14:15" x14ac:dyDescent="0.4">
      <c r="N419" s="59"/>
      <c r="O419" s="60"/>
    </row>
    <row r="420" spans="14:15" x14ac:dyDescent="0.4">
      <c r="N420" s="59"/>
      <c r="O420" s="60"/>
    </row>
    <row r="421" spans="14:15" x14ac:dyDescent="0.4">
      <c r="N421" s="59"/>
    </row>
    <row r="422" spans="14:15" x14ac:dyDescent="0.4">
      <c r="N422" s="59"/>
      <c r="O422" s="60"/>
    </row>
    <row r="423" spans="14:15" x14ac:dyDescent="0.4">
      <c r="N423" s="59"/>
      <c r="O423" s="60"/>
    </row>
    <row r="424" spans="14:15" x14ac:dyDescent="0.4">
      <c r="N424" s="59"/>
      <c r="O424" s="60"/>
    </row>
    <row r="425" spans="14:15" x14ac:dyDescent="0.4">
      <c r="N425" s="59"/>
    </row>
    <row r="426" spans="14:15" x14ac:dyDescent="0.4">
      <c r="N426" s="59"/>
      <c r="O426" s="60"/>
    </row>
    <row r="427" spans="14:15" x14ac:dyDescent="0.4">
      <c r="N427" s="59"/>
      <c r="O427" s="60"/>
    </row>
    <row r="428" spans="14:15" x14ac:dyDescent="0.4">
      <c r="N428" s="59"/>
      <c r="O428" s="60"/>
    </row>
    <row r="429" spans="14:15" x14ac:dyDescent="0.4">
      <c r="N429" s="59"/>
      <c r="O429" s="60"/>
    </row>
    <row r="430" spans="14:15" x14ac:dyDescent="0.4">
      <c r="N430" s="59"/>
      <c r="O430" s="60"/>
    </row>
    <row r="431" spans="14:15" x14ac:dyDescent="0.4">
      <c r="N431" s="59"/>
      <c r="O431" s="60"/>
    </row>
    <row r="432" spans="14:15" x14ac:dyDescent="0.4">
      <c r="N432" s="59"/>
      <c r="O432" s="60"/>
    </row>
    <row r="433" spans="14:15" x14ac:dyDescent="0.4">
      <c r="N433" s="59"/>
      <c r="O433" s="60"/>
    </row>
    <row r="434" spans="14:15" x14ac:dyDescent="0.4">
      <c r="N434" s="59"/>
      <c r="O434" s="60"/>
    </row>
    <row r="435" spans="14:15" x14ac:dyDescent="0.4">
      <c r="N435" s="59"/>
    </row>
    <row r="436" spans="14:15" x14ac:dyDescent="0.4">
      <c r="N436" s="59"/>
      <c r="O436" s="60"/>
    </row>
    <row r="437" spans="14:15" x14ac:dyDescent="0.4">
      <c r="N437" s="59"/>
      <c r="O437" s="60"/>
    </row>
    <row r="438" spans="14:15" x14ac:dyDescent="0.4">
      <c r="N438" s="59"/>
      <c r="O438" s="60"/>
    </row>
    <row r="439" spans="14:15" x14ac:dyDescent="0.4">
      <c r="N439" s="59"/>
      <c r="O439" s="60"/>
    </row>
    <row r="440" spans="14:15" x14ac:dyDescent="0.4">
      <c r="N440" s="59"/>
      <c r="O440" s="60"/>
    </row>
    <row r="441" spans="14:15" x14ac:dyDescent="0.4">
      <c r="N441" s="59"/>
      <c r="O441" s="60"/>
    </row>
    <row r="442" spans="14:15" x14ac:dyDescent="0.4">
      <c r="N442" s="59"/>
      <c r="O442" s="60"/>
    </row>
    <row r="443" spans="14:15" x14ac:dyDescent="0.4">
      <c r="N443" s="59"/>
      <c r="O443" s="60"/>
    </row>
    <row r="444" spans="14:15" x14ac:dyDescent="0.4">
      <c r="N444" s="59"/>
      <c r="O444" s="60"/>
    </row>
    <row r="445" spans="14:15" x14ac:dyDescent="0.4">
      <c r="N445" s="59"/>
      <c r="O445" s="60"/>
    </row>
    <row r="446" spans="14:15" x14ac:dyDescent="0.4">
      <c r="N446" s="59"/>
      <c r="O446" s="60"/>
    </row>
    <row r="447" spans="14:15" x14ac:dyDescent="0.4">
      <c r="N447" s="59"/>
      <c r="O447" s="60"/>
    </row>
    <row r="448" spans="14:15" x14ac:dyDescent="0.4">
      <c r="N448" s="59"/>
      <c r="O448" s="60"/>
    </row>
    <row r="449" spans="14:15" x14ac:dyDescent="0.4">
      <c r="N449" s="59"/>
      <c r="O449" s="60"/>
    </row>
    <row r="450" spans="14:15" x14ac:dyDescent="0.4">
      <c r="N450" s="59"/>
      <c r="O450" s="60"/>
    </row>
    <row r="451" spans="14:15" x14ac:dyDescent="0.4">
      <c r="N451" s="59"/>
      <c r="O451" s="60"/>
    </row>
    <row r="452" spans="14:15" x14ac:dyDescent="0.4">
      <c r="N452" s="59"/>
      <c r="O452" s="60"/>
    </row>
    <row r="453" spans="14:15" x14ac:dyDescent="0.4">
      <c r="N453" s="59"/>
      <c r="O453" s="60"/>
    </row>
    <row r="454" spans="14:15" x14ac:dyDescent="0.4">
      <c r="N454" s="59"/>
      <c r="O454" s="60"/>
    </row>
    <row r="455" spans="14:15" x14ac:dyDescent="0.4">
      <c r="N455" s="59"/>
      <c r="O455" s="60"/>
    </row>
    <row r="456" spans="14:15" x14ac:dyDescent="0.4">
      <c r="N456" s="59"/>
      <c r="O456" s="60"/>
    </row>
    <row r="457" spans="14:15" x14ac:dyDescent="0.4">
      <c r="N457" s="59"/>
      <c r="O457" s="60"/>
    </row>
    <row r="458" spans="14:15" x14ac:dyDescent="0.4">
      <c r="N458" s="59"/>
      <c r="O458" s="60"/>
    </row>
    <row r="459" spans="14:15" x14ac:dyDescent="0.4">
      <c r="N459" s="59"/>
      <c r="O459" s="60"/>
    </row>
    <row r="460" spans="14:15" x14ac:dyDescent="0.4">
      <c r="N460" s="59"/>
      <c r="O460" s="60"/>
    </row>
    <row r="461" spans="14:15" x14ac:dyDescent="0.4">
      <c r="N461" s="59"/>
      <c r="O461" s="60"/>
    </row>
    <row r="462" spans="14:15" x14ac:dyDescent="0.4">
      <c r="N462" s="59"/>
      <c r="O462" s="60"/>
    </row>
    <row r="463" spans="14:15" x14ac:dyDescent="0.4">
      <c r="N463" s="59"/>
      <c r="O463" s="60"/>
    </row>
    <row r="464" spans="14:15" x14ac:dyDescent="0.4">
      <c r="N464" s="59"/>
      <c r="O464" s="60"/>
    </row>
    <row r="465" spans="14:15" x14ac:dyDescent="0.4">
      <c r="N465" s="59"/>
      <c r="O465" s="60"/>
    </row>
    <row r="466" spans="14:15" x14ac:dyDescent="0.4">
      <c r="N466" s="59"/>
      <c r="O466" s="60"/>
    </row>
    <row r="467" spans="14:15" x14ac:dyDescent="0.4">
      <c r="N467" s="59"/>
      <c r="O467" s="60"/>
    </row>
    <row r="468" spans="14:15" x14ac:dyDescent="0.4">
      <c r="N468" s="59"/>
      <c r="O468" s="60"/>
    </row>
    <row r="469" spans="14:15" x14ac:dyDescent="0.4">
      <c r="N469" s="59"/>
      <c r="O469" s="60"/>
    </row>
    <row r="470" spans="14:15" x14ac:dyDescent="0.4">
      <c r="N470" s="59"/>
      <c r="O470" s="60"/>
    </row>
    <row r="471" spans="14:15" x14ac:dyDescent="0.4">
      <c r="N471" s="59"/>
      <c r="O471" s="60"/>
    </row>
    <row r="472" spans="14:15" x14ac:dyDescent="0.4">
      <c r="N472" s="59"/>
      <c r="O472" s="60"/>
    </row>
    <row r="473" spans="14:15" x14ac:dyDescent="0.4">
      <c r="N473" s="59"/>
    </row>
    <row r="474" spans="14:15" x14ac:dyDescent="0.4">
      <c r="N474" s="59"/>
      <c r="O474" s="60"/>
    </row>
    <row r="475" spans="14:15" x14ac:dyDescent="0.4">
      <c r="N475" s="59"/>
      <c r="O475" s="60"/>
    </row>
    <row r="476" spans="14:15" x14ac:dyDescent="0.4">
      <c r="N476" s="59"/>
      <c r="O476" s="60"/>
    </row>
    <row r="477" spans="14:15" x14ac:dyDescent="0.4">
      <c r="N477" s="59"/>
      <c r="O477" s="60"/>
    </row>
    <row r="478" spans="14:15" x14ac:dyDescent="0.4">
      <c r="N478" s="59"/>
      <c r="O478" s="60"/>
    </row>
    <row r="479" spans="14:15" x14ac:dyDescent="0.4">
      <c r="N479" s="59"/>
      <c r="O479" s="60"/>
    </row>
    <row r="480" spans="14:15" x14ac:dyDescent="0.4">
      <c r="N480" s="59"/>
      <c r="O480" s="60"/>
    </row>
    <row r="481" spans="14:15" x14ac:dyDescent="0.4">
      <c r="N481" s="59"/>
      <c r="O481" s="60"/>
    </row>
    <row r="482" spans="14:15" x14ac:dyDescent="0.4">
      <c r="N482" s="59"/>
      <c r="O482" s="60"/>
    </row>
    <row r="483" spans="14:15" x14ac:dyDescent="0.4">
      <c r="N483" s="59"/>
      <c r="O483" s="60"/>
    </row>
    <row r="484" spans="14:15" x14ac:dyDescent="0.4">
      <c r="N484" s="59"/>
      <c r="O484" s="60"/>
    </row>
    <row r="485" spans="14:15" x14ac:dyDescent="0.4">
      <c r="N485" s="59"/>
      <c r="O485" s="60"/>
    </row>
    <row r="486" spans="14:15" x14ac:dyDescent="0.4">
      <c r="N486" s="59"/>
      <c r="O486" s="60"/>
    </row>
    <row r="487" spans="14:15" x14ac:dyDescent="0.4">
      <c r="N487" s="59"/>
      <c r="O487" s="60"/>
    </row>
    <row r="488" spans="14:15" x14ac:dyDescent="0.4">
      <c r="N488" s="59"/>
      <c r="O488" s="60"/>
    </row>
    <row r="489" spans="14:15" x14ac:dyDescent="0.4">
      <c r="N489" s="59"/>
      <c r="O489" s="60"/>
    </row>
    <row r="490" spans="14:15" x14ac:dyDescent="0.4">
      <c r="N490" s="59"/>
      <c r="O490" s="60"/>
    </row>
    <row r="491" spans="14:15" x14ac:dyDescent="0.4">
      <c r="N491" s="59"/>
      <c r="O491" s="60"/>
    </row>
    <row r="492" spans="14:15" x14ac:dyDescent="0.4">
      <c r="N492" s="59"/>
      <c r="O492" s="60"/>
    </row>
    <row r="493" spans="14:15" x14ac:dyDescent="0.4">
      <c r="N493" s="59"/>
      <c r="O493" s="60"/>
    </row>
    <row r="494" spans="14:15" x14ac:dyDescent="0.4">
      <c r="N494" s="59"/>
    </row>
    <row r="495" spans="14:15" x14ac:dyDescent="0.4">
      <c r="N495" s="59"/>
      <c r="O495" s="60"/>
    </row>
    <row r="496" spans="14:15" x14ac:dyDescent="0.4">
      <c r="N496" s="59"/>
      <c r="O496" s="60"/>
    </row>
    <row r="497" spans="14:15" x14ac:dyDescent="0.4">
      <c r="N497" s="59"/>
      <c r="O497" s="60"/>
    </row>
    <row r="498" spans="14:15" x14ac:dyDescent="0.4">
      <c r="N498" s="59"/>
      <c r="O498" s="60"/>
    </row>
    <row r="499" spans="14:15" x14ac:dyDescent="0.4">
      <c r="N499" s="59"/>
      <c r="O499" s="60"/>
    </row>
    <row r="500" spans="14:15" x14ac:dyDescent="0.4">
      <c r="N500" s="59"/>
      <c r="O500" s="60"/>
    </row>
    <row r="501" spans="14:15" x14ac:dyDescent="0.4">
      <c r="N501" s="59"/>
      <c r="O501" s="60"/>
    </row>
    <row r="502" spans="14:15" x14ac:dyDescent="0.4">
      <c r="N502" s="59"/>
      <c r="O502" s="60"/>
    </row>
    <row r="503" spans="14:15" x14ac:dyDescent="0.4">
      <c r="N503" s="59"/>
      <c r="O503" s="60"/>
    </row>
    <row r="504" spans="14:15" x14ac:dyDescent="0.4">
      <c r="N504" s="59"/>
      <c r="O504" s="60"/>
    </row>
    <row r="505" spans="14:15" x14ac:dyDescent="0.4">
      <c r="N505" s="59"/>
      <c r="O505" s="60"/>
    </row>
    <row r="506" spans="14:15" x14ac:dyDescent="0.4">
      <c r="N506" s="59"/>
      <c r="O506" s="60"/>
    </row>
    <row r="507" spans="14:15" x14ac:dyDescent="0.4">
      <c r="N507" s="59"/>
      <c r="O507" s="60"/>
    </row>
    <row r="508" spans="14:15" x14ac:dyDescent="0.4">
      <c r="N508" s="59"/>
      <c r="O508" s="60"/>
    </row>
    <row r="509" spans="14:15" x14ac:dyDescent="0.4">
      <c r="N509" s="59"/>
      <c r="O509" s="60"/>
    </row>
    <row r="510" spans="14:15" x14ac:dyDescent="0.4">
      <c r="N510" s="59"/>
      <c r="O510" s="60"/>
    </row>
    <row r="511" spans="14:15" x14ac:dyDescent="0.4">
      <c r="N511" s="59"/>
      <c r="O511" s="60"/>
    </row>
    <row r="512" spans="14:15" x14ac:dyDescent="0.4">
      <c r="N512" s="59"/>
      <c r="O512" s="60"/>
    </row>
    <row r="513" spans="14:15" x14ac:dyDescent="0.4">
      <c r="N513" s="59"/>
      <c r="O513" s="60"/>
    </row>
    <row r="514" spans="14:15" x14ac:dyDescent="0.4">
      <c r="N514" s="59"/>
      <c r="O514" s="60"/>
    </row>
    <row r="515" spans="14:15" x14ac:dyDescent="0.4">
      <c r="N515" s="59"/>
      <c r="O515" s="60"/>
    </row>
    <row r="516" spans="14:15" x14ac:dyDescent="0.4">
      <c r="N516" s="59"/>
      <c r="O516" s="60"/>
    </row>
    <row r="517" spans="14:15" x14ac:dyDescent="0.4">
      <c r="N517" s="59"/>
      <c r="O517" s="60"/>
    </row>
    <row r="518" spans="14:15" x14ac:dyDescent="0.4">
      <c r="N518" s="59"/>
      <c r="O518" s="60"/>
    </row>
    <row r="519" spans="14:15" x14ac:dyDescent="0.4">
      <c r="N519" s="59"/>
      <c r="O519" s="60"/>
    </row>
    <row r="520" spans="14:15" x14ac:dyDescent="0.4">
      <c r="N520" s="59"/>
      <c r="O520" s="60"/>
    </row>
    <row r="521" spans="14:15" x14ac:dyDescent="0.4">
      <c r="N521" s="59"/>
      <c r="O521" s="60"/>
    </row>
    <row r="522" spans="14:15" x14ac:dyDescent="0.4">
      <c r="N522" s="59"/>
      <c r="O522" s="60"/>
    </row>
    <row r="523" spans="14:15" x14ac:dyDescent="0.4">
      <c r="N523" s="59"/>
      <c r="O523" s="60"/>
    </row>
    <row r="524" spans="14:15" x14ac:dyDescent="0.4">
      <c r="N524" s="59"/>
      <c r="O524" s="60"/>
    </row>
    <row r="525" spans="14:15" x14ac:dyDescent="0.4">
      <c r="N525" s="59"/>
      <c r="O525" s="60"/>
    </row>
    <row r="526" spans="14:15" x14ac:dyDescent="0.4">
      <c r="N526" s="59"/>
      <c r="O526" s="60"/>
    </row>
    <row r="527" spans="14:15" x14ac:dyDescent="0.4">
      <c r="N527" s="59"/>
      <c r="O527" s="60"/>
    </row>
    <row r="528" spans="14:15" x14ac:dyDescent="0.4">
      <c r="N528" s="59"/>
      <c r="O528" s="60"/>
    </row>
    <row r="529" spans="14:15" x14ac:dyDescent="0.4">
      <c r="N529" s="59"/>
      <c r="O529" s="60"/>
    </row>
    <row r="530" spans="14:15" x14ac:dyDescent="0.4">
      <c r="N530" s="59"/>
      <c r="O530" s="60"/>
    </row>
    <row r="531" spans="14:15" x14ac:dyDescent="0.4">
      <c r="N531" s="59"/>
      <c r="O531" s="60"/>
    </row>
    <row r="532" spans="14:15" x14ac:dyDescent="0.4">
      <c r="N532" s="59"/>
      <c r="O532" s="60"/>
    </row>
    <row r="533" spans="14:15" x14ac:dyDescent="0.4">
      <c r="N533" s="59"/>
      <c r="O533" s="60"/>
    </row>
    <row r="534" spans="14:15" x14ac:dyDescent="0.4">
      <c r="N534" s="59"/>
      <c r="O534" s="60"/>
    </row>
    <row r="535" spans="14:15" x14ac:dyDescent="0.4">
      <c r="N535" s="59"/>
      <c r="O535" s="60"/>
    </row>
    <row r="536" spans="14:15" x14ac:dyDescent="0.4">
      <c r="N536" s="59"/>
      <c r="O536" s="60"/>
    </row>
    <row r="537" spans="14:15" x14ac:dyDescent="0.4">
      <c r="N537" s="59"/>
      <c r="O537" s="60"/>
    </row>
    <row r="538" spans="14:15" x14ac:dyDescent="0.4">
      <c r="N538" s="59"/>
      <c r="O538" s="60"/>
    </row>
    <row r="539" spans="14:15" x14ac:dyDescent="0.4">
      <c r="N539" s="59"/>
      <c r="O539" s="60"/>
    </row>
    <row r="540" spans="14:15" x14ac:dyDescent="0.4">
      <c r="N540" s="59"/>
      <c r="O540" s="60"/>
    </row>
    <row r="541" spans="14:15" x14ac:dyDescent="0.4">
      <c r="N541" s="59"/>
      <c r="O541" s="60"/>
    </row>
    <row r="542" spans="14:15" x14ac:dyDescent="0.4">
      <c r="N542" s="59"/>
      <c r="O542" s="60"/>
    </row>
    <row r="543" spans="14:15" x14ac:dyDescent="0.4">
      <c r="N543" s="59"/>
      <c r="O543" s="60"/>
    </row>
    <row r="544" spans="14:15" x14ac:dyDescent="0.4">
      <c r="N544" s="59"/>
      <c r="O544" s="60"/>
    </row>
    <row r="545" spans="14:15" x14ac:dyDescent="0.4">
      <c r="N545" s="59"/>
      <c r="O545" s="60"/>
    </row>
    <row r="546" spans="14:15" x14ac:dyDescent="0.4">
      <c r="N546" s="59"/>
      <c r="O546" s="60"/>
    </row>
    <row r="547" spans="14:15" x14ac:dyDescent="0.4">
      <c r="N547" s="59"/>
      <c r="O547" s="60"/>
    </row>
    <row r="548" spans="14:15" x14ac:dyDescent="0.4">
      <c r="N548" s="59"/>
      <c r="O548" s="60"/>
    </row>
    <row r="549" spans="14:15" x14ac:dyDescent="0.4">
      <c r="N549" s="59"/>
    </row>
    <row r="550" spans="14:15" x14ac:dyDescent="0.4">
      <c r="N550" s="59"/>
      <c r="O550" s="60"/>
    </row>
    <row r="551" spans="14:15" x14ac:dyDescent="0.4">
      <c r="N551" s="59"/>
      <c r="O551" s="60"/>
    </row>
    <row r="552" spans="14:15" x14ac:dyDescent="0.4">
      <c r="N552" s="59"/>
      <c r="O552" s="60"/>
    </row>
    <row r="553" spans="14:15" x14ac:dyDescent="0.4">
      <c r="N553" s="59"/>
      <c r="O553" s="60"/>
    </row>
    <row r="554" spans="14:15" x14ac:dyDescent="0.4">
      <c r="N554" s="59"/>
      <c r="O554" s="60"/>
    </row>
    <row r="555" spans="14:15" x14ac:dyDescent="0.4">
      <c r="N555" s="59"/>
      <c r="O555" s="60"/>
    </row>
    <row r="556" spans="14:15" x14ac:dyDescent="0.4">
      <c r="N556" s="59"/>
      <c r="O556" s="60"/>
    </row>
    <row r="557" spans="14:15" x14ac:dyDescent="0.4">
      <c r="N557" s="59"/>
      <c r="O557" s="60"/>
    </row>
    <row r="558" spans="14:15" x14ac:dyDescent="0.4">
      <c r="N558" s="59"/>
      <c r="O558" s="60"/>
    </row>
    <row r="559" spans="14:15" x14ac:dyDescent="0.4">
      <c r="N559" s="59"/>
      <c r="O559" s="60"/>
    </row>
    <row r="560" spans="14:15" x14ac:dyDescent="0.4">
      <c r="N560" s="59"/>
      <c r="O560" s="60"/>
    </row>
    <row r="561" spans="14:15" x14ac:dyDescent="0.4">
      <c r="N561" s="59"/>
      <c r="O561" s="60"/>
    </row>
    <row r="562" spans="14:15" x14ac:dyDescent="0.4">
      <c r="N562" s="59"/>
      <c r="O562" s="60"/>
    </row>
    <row r="563" spans="14:15" x14ac:dyDescent="0.4">
      <c r="N563" s="59"/>
      <c r="O563" s="60"/>
    </row>
    <row r="564" spans="14:15" x14ac:dyDescent="0.4">
      <c r="N564" s="59"/>
      <c r="O564" s="60"/>
    </row>
    <row r="565" spans="14:15" x14ac:dyDescent="0.4">
      <c r="N565" s="59"/>
      <c r="O565" s="60"/>
    </row>
    <row r="566" spans="14:15" x14ac:dyDescent="0.4">
      <c r="N566" s="59"/>
      <c r="O566" s="60"/>
    </row>
    <row r="567" spans="14:15" x14ac:dyDescent="0.4">
      <c r="N567" s="59"/>
      <c r="O567" s="60"/>
    </row>
    <row r="568" spans="14:15" x14ac:dyDescent="0.4">
      <c r="N568" s="59"/>
      <c r="O568" s="60"/>
    </row>
    <row r="569" spans="14:15" x14ac:dyDescent="0.4">
      <c r="N569" s="59"/>
      <c r="O569" s="60"/>
    </row>
    <row r="570" spans="14:15" x14ac:dyDescent="0.4">
      <c r="N570" s="59"/>
      <c r="O570" s="60"/>
    </row>
    <row r="571" spans="14:15" x14ac:dyDescent="0.4">
      <c r="N571" s="59"/>
      <c r="O571" s="60"/>
    </row>
    <row r="572" spans="14:15" x14ac:dyDescent="0.4">
      <c r="N572" s="59"/>
      <c r="O572" s="60"/>
    </row>
    <row r="573" spans="14:15" x14ac:dyDescent="0.4">
      <c r="N573" s="59"/>
      <c r="O573" s="60"/>
    </row>
    <row r="574" spans="14:15" x14ac:dyDescent="0.4">
      <c r="N574" s="59"/>
      <c r="O574" s="60"/>
    </row>
    <row r="575" spans="14:15" x14ac:dyDescent="0.4">
      <c r="N575" s="59"/>
      <c r="O575" s="60"/>
    </row>
    <row r="576" spans="14:15" x14ac:dyDescent="0.4">
      <c r="N576" s="59"/>
      <c r="O576" s="60"/>
    </row>
    <row r="577" spans="14:15" x14ac:dyDescent="0.4">
      <c r="N577" s="59"/>
      <c r="O577" s="60"/>
    </row>
    <row r="578" spans="14:15" x14ac:dyDescent="0.4">
      <c r="N578" s="59"/>
      <c r="O578" s="60"/>
    </row>
    <row r="579" spans="14:15" x14ac:dyDescent="0.4">
      <c r="N579" s="59"/>
      <c r="O579" s="60"/>
    </row>
    <row r="580" spans="14:15" x14ac:dyDescent="0.4">
      <c r="N580" s="59"/>
      <c r="O580" s="60"/>
    </row>
    <row r="581" spans="14:15" x14ac:dyDescent="0.4">
      <c r="N581" s="59"/>
      <c r="O581" s="60"/>
    </row>
    <row r="582" spans="14:15" x14ac:dyDescent="0.4">
      <c r="N582" s="59"/>
      <c r="O582" s="60"/>
    </row>
    <row r="583" spans="14:15" x14ac:dyDescent="0.4">
      <c r="N583" s="59"/>
      <c r="O583" s="60"/>
    </row>
    <row r="584" spans="14:15" x14ac:dyDescent="0.4">
      <c r="N584" s="59"/>
      <c r="O584" s="60"/>
    </row>
    <row r="585" spans="14:15" x14ac:dyDescent="0.4">
      <c r="N585" s="59"/>
      <c r="O585" s="60"/>
    </row>
    <row r="586" spans="14:15" x14ac:dyDescent="0.4">
      <c r="N586" s="59"/>
      <c r="O586" s="60"/>
    </row>
    <row r="587" spans="14:15" x14ac:dyDescent="0.4">
      <c r="N587" s="59"/>
      <c r="O587" s="60"/>
    </row>
    <row r="588" spans="14:15" x14ac:dyDescent="0.4">
      <c r="N588" s="59"/>
      <c r="O588" s="60"/>
    </row>
    <row r="589" spans="14:15" x14ac:dyDescent="0.4">
      <c r="N589" s="59"/>
      <c r="O589" s="60"/>
    </row>
    <row r="590" spans="14:15" x14ac:dyDescent="0.4">
      <c r="N590" s="59"/>
      <c r="O590" s="60"/>
    </row>
    <row r="591" spans="14:15" x14ac:dyDescent="0.4">
      <c r="N591" s="59"/>
      <c r="O591" s="60"/>
    </row>
    <row r="592" spans="14:15" x14ac:dyDescent="0.4">
      <c r="N592" s="59"/>
      <c r="O592" s="60"/>
    </row>
    <row r="593" spans="14:15" x14ac:dyDescent="0.4">
      <c r="N593" s="59"/>
      <c r="O593" s="60"/>
    </row>
    <row r="594" spans="14:15" x14ac:dyDescent="0.4">
      <c r="N594" s="59"/>
      <c r="O594" s="60"/>
    </row>
    <row r="595" spans="14:15" x14ac:dyDescent="0.4">
      <c r="N595" s="59"/>
      <c r="O595" s="60"/>
    </row>
    <row r="596" spans="14:15" x14ac:dyDescent="0.4">
      <c r="N596" s="59"/>
      <c r="O596" s="60"/>
    </row>
    <row r="597" spans="14:15" x14ac:dyDescent="0.4">
      <c r="N597" s="59"/>
      <c r="O597" s="60"/>
    </row>
    <row r="598" spans="14:15" x14ac:dyDescent="0.4">
      <c r="N598" s="59"/>
      <c r="O598" s="60"/>
    </row>
    <row r="599" spans="14:15" x14ac:dyDescent="0.4">
      <c r="N599" s="59"/>
      <c r="O599" s="60"/>
    </row>
    <row r="600" spans="14:15" x14ac:dyDescent="0.4">
      <c r="N600" s="59"/>
      <c r="O600" s="60"/>
    </row>
    <row r="601" spans="14:15" x14ac:dyDescent="0.4">
      <c r="N601" s="59"/>
      <c r="O601" s="60"/>
    </row>
    <row r="602" spans="14:15" x14ac:dyDescent="0.4">
      <c r="N602" s="59"/>
      <c r="O602" s="60"/>
    </row>
    <row r="603" spans="14:15" x14ac:dyDescent="0.4">
      <c r="N603" s="59"/>
      <c r="O603" s="60"/>
    </row>
    <row r="604" spans="14:15" x14ac:dyDescent="0.4">
      <c r="N604" s="59"/>
      <c r="O604" s="60"/>
    </row>
    <row r="605" spans="14:15" x14ac:dyDescent="0.4">
      <c r="N605" s="59"/>
      <c r="O605" s="60"/>
    </row>
    <row r="606" spans="14:15" x14ac:dyDescent="0.4">
      <c r="N606" s="59"/>
      <c r="O606" s="60"/>
    </row>
    <row r="607" spans="14:15" x14ac:dyDescent="0.4">
      <c r="N607" s="59"/>
      <c r="O607" s="60"/>
    </row>
    <row r="608" spans="14:15" x14ac:dyDescent="0.4">
      <c r="N608" s="59"/>
      <c r="O608" s="60"/>
    </row>
    <row r="609" spans="14:15" x14ac:dyDescent="0.4">
      <c r="N609" s="59"/>
      <c r="O609" s="60"/>
    </row>
    <row r="610" spans="14:15" x14ac:dyDescent="0.4">
      <c r="N610" s="59"/>
      <c r="O610" s="60"/>
    </row>
    <row r="611" spans="14:15" x14ac:dyDescent="0.4">
      <c r="N611" s="59"/>
      <c r="O611" s="60"/>
    </row>
    <row r="612" spans="14:15" x14ac:dyDescent="0.4">
      <c r="N612" s="59"/>
      <c r="O612" s="60"/>
    </row>
    <row r="613" spans="14:15" x14ac:dyDescent="0.4">
      <c r="N613" s="59"/>
      <c r="O613" s="60"/>
    </row>
    <row r="614" spans="14:15" x14ac:dyDescent="0.4">
      <c r="N614" s="59"/>
      <c r="O614" s="60"/>
    </row>
    <row r="615" spans="14:15" x14ac:dyDescent="0.4">
      <c r="N615" s="59"/>
      <c r="O615" s="60"/>
    </row>
    <row r="616" spans="14:15" x14ac:dyDescent="0.4">
      <c r="N616" s="59"/>
      <c r="O616" s="60"/>
    </row>
    <row r="617" spans="14:15" x14ac:dyDescent="0.4">
      <c r="N617" s="59"/>
      <c r="O617" s="60"/>
    </row>
    <row r="618" spans="14:15" x14ac:dyDescent="0.4">
      <c r="N618" s="59"/>
      <c r="O618" s="60"/>
    </row>
    <row r="619" spans="14:15" x14ac:dyDescent="0.4">
      <c r="N619" s="59"/>
      <c r="O619" s="60"/>
    </row>
    <row r="620" spans="14:15" x14ac:dyDescent="0.4">
      <c r="N620" s="59"/>
      <c r="O620" s="60"/>
    </row>
    <row r="621" spans="14:15" x14ac:dyDescent="0.4">
      <c r="N621" s="59"/>
      <c r="O621" s="60"/>
    </row>
    <row r="622" spans="14:15" x14ac:dyDescent="0.4">
      <c r="N622" s="59"/>
      <c r="O622" s="60"/>
    </row>
    <row r="623" spans="14:15" x14ac:dyDescent="0.4">
      <c r="N623" s="59"/>
      <c r="O623" s="60"/>
    </row>
    <row r="624" spans="14:15" x14ac:dyDescent="0.4">
      <c r="N624" s="59"/>
      <c r="O624" s="60"/>
    </row>
    <row r="625" spans="14:15" x14ac:dyDescent="0.4">
      <c r="N625" s="59"/>
      <c r="O625" s="60"/>
    </row>
    <row r="626" spans="14:15" x14ac:dyDescent="0.4">
      <c r="N626" s="59"/>
      <c r="O626" s="60"/>
    </row>
    <row r="627" spans="14:15" x14ac:dyDescent="0.4">
      <c r="N627" s="59"/>
      <c r="O627" s="60"/>
    </row>
    <row r="628" spans="14:15" x14ac:dyDescent="0.4">
      <c r="N628" s="59"/>
      <c r="O628" s="60"/>
    </row>
    <row r="629" spans="14:15" x14ac:dyDescent="0.4">
      <c r="N629" s="59"/>
      <c r="O629" s="60"/>
    </row>
    <row r="630" spans="14:15" x14ac:dyDescent="0.4">
      <c r="N630" s="59"/>
      <c r="O630" s="60"/>
    </row>
    <row r="631" spans="14:15" x14ac:dyDescent="0.4">
      <c r="N631" s="59"/>
      <c r="O631" s="60"/>
    </row>
    <row r="632" spans="14:15" x14ac:dyDescent="0.4">
      <c r="N632" s="59"/>
      <c r="O632" s="60"/>
    </row>
    <row r="633" spans="14:15" x14ac:dyDescent="0.4">
      <c r="N633" s="59"/>
      <c r="O633" s="60"/>
    </row>
    <row r="634" spans="14:15" x14ac:dyDescent="0.4">
      <c r="N634" s="59"/>
      <c r="O634" s="60"/>
    </row>
    <row r="635" spans="14:15" x14ac:dyDescent="0.4">
      <c r="N635" s="59"/>
      <c r="O635" s="60"/>
    </row>
    <row r="636" spans="14:15" x14ac:dyDescent="0.4">
      <c r="N636" s="59"/>
      <c r="O636" s="60"/>
    </row>
    <row r="637" spans="14:15" x14ac:dyDescent="0.4">
      <c r="N637" s="59"/>
      <c r="O637" s="60"/>
    </row>
    <row r="638" spans="14:15" x14ac:dyDescent="0.4">
      <c r="N638" s="59"/>
      <c r="O638" s="60"/>
    </row>
    <row r="639" spans="14:15" x14ac:dyDescent="0.4">
      <c r="N639" s="59"/>
      <c r="O639" s="60"/>
    </row>
    <row r="640" spans="14:15" x14ac:dyDescent="0.4">
      <c r="N640" s="59"/>
      <c r="O640" s="60"/>
    </row>
    <row r="641" spans="14:15" x14ac:dyDescent="0.4">
      <c r="N641" s="59"/>
      <c r="O641" s="60"/>
    </row>
    <row r="642" spans="14:15" x14ac:dyDescent="0.4">
      <c r="N642" s="59"/>
      <c r="O642" s="60"/>
    </row>
    <row r="643" spans="14:15" x14ac:dyDescent="0.4">
      <c r="N643" s="59"/>
      <c r="O643" s="60"/>
    </row>
    <row r="644" spans="14:15" x14ac:dyDescent="0.4">
      <c r="N644" s="59"/>
      <c r="O644" s="60"/>
    </row>
    <row r="645" spans="14:15" x14ac:dyDescent="0.4">
      <c r="N645" s="59"/>
      <c r="O645" s="60"/>
    </row>
    <row r="646" spans="14:15" x14ac:dyDescent="0.4">
      <c r="N646" s="59"/>
      <c r="O646" s="60"/>
    </row>
    <row r="647" spans="14:15" x14ac:dyDescent="0.4">
      <c r="N647" s="59"/>
      <c r="O647" s="60"/>
    </row>
    <row r="648" spans="14:15" x14ac:dyDescent="0.4">
      <c r="N648" s="59"/>
      <c r="O648" s="60"/>
    </row>
    <row r="649" spans="14:15" x14ac:dyDescent="0.4">
      <c r="N649" s="59"/>
      <c r="O649" s="60"/>
    </row>
    <row r="650" spans="14:15" x14ac:dyDescent="0.4">
      <c r="N650" s="59"/>
      <c r="O650" s="60"/>
    </row>
    <row r="651" spans="14:15" x14ac:dyDescent="0.4">
      <c r="N651" s="59"/>
      <c r="O651" s="60"/>
    </row>
    <row r="652" spans="14:15" x14ac:dyDescent="0.4">
      <c r="N652" s="59"/>
      <c r="O652" s="60"/>
    </row>
    <row r="653" spans="14:15" x14ac:dyDescent="0.4">
      <c r="N653" s="59"/>
      <c r="O653" s="60"/>
    </row>
    <row r="654" spans="14:15" x14ac:dyDescent="0.4">
      <c r="N654" s="59"/>
      <c r="O654" s="60"/>
    </row>
    <row r="655" spans="14:15" x14ac:dyDescent="0.4">
      <c r="N655" s="59"/>
      <c r="O655" s="60"/>
    </row>
    <row r="656" spans="14:15" x14ac:dyDescent="0.4">
      <c r="N656" s="59"/>
      <c r="O656" s="60"/>
    </row>
    <row r="657" spans="14:15" x14ac:dyDescent="0.4">
      <c r="N657" s="59"/>
      <c r="O657" s="60"/>
    </row>
    <row r="658" spans="14:15" x14ac:dyDescent="0.4">
      <c r="N658" s="59"/>
      <c r="O658" s="60"/>
    </row>
    <row r="659" spans="14:15" x14ac:dyDescent="0.4">
      <c r="N659" s="59"/>
      <c r="O659" s="60"/>
    </row>
    <row r="660" spans="14:15" x14ac:dyDescent="0.4">
      <c r="N660" s="59"/>
      <c r="O660" s="60"/>
    </row>
    <row r="661" spans="14:15" x14ac:dyDescent="0.4">
      <c r="N661" s="59"/>
      <c r="O661" s="60"/>
    </row>
    <row r="662" spans="14:15" x14ac:dyDescent="0.4">
      <c r="N662" s="59"/>
      <c r="O662" s="60"/>
    </row>
    <row r="663" spans="14:15" x14ac:dyDescent="0.4">
      <c r="N663" s="59"/>
      <c r="O663" s="60"/>
    </row>
    <row r="664" spans="14:15" x14ac:dyDescent="0.4">
      <c r="N664" s="59"/>
      <c r="O664" s="60"/>
    </row>
    <row r="665" spans="14:15" x14ac:dyDescent="0.4">
      <c r="N665" s="59"/>
      <c r="O665" s="60"/>
    </row>
    <row r="666" spans="14:15" x14ac:dyDescent="0.4">
      <c r="N666" s="59"/>
      <c r="O666" s="60"/>
    </row>
    <row r="667" spans="14:15" x14ac:dyDescent="0.4">
      <c r="N667" s="59"/>
      <c r="O667" s="60"/>
    </row>
    <row r="668" spans="14:15" x14ac:dyDescent="0.4">
      <c r="N668" s="59"/>
      <c r="O668" s="60"/>
    </row>
    <row r="669" spans="14:15" x14ac:dyDescent="0.4">
      <c r="N669" s="59"/>
      <c r="O669" s="60"/>
    </row>
    <row r="670" spans="14:15" x14ac:dyDescent="0.4">
      <c r="N670" s="59"/>
      <c r="O670" s="60"/>
    </row>
    <row r="671" spans="14:15" x14ac:dyDescent="0.4">
      <c r="N671" s="59"/>
      <c r="O671" s="60"/>
    </row>
    <row r="672" spans="14:15" x14ac:dyDescent="0.4">
      <c r="N672" s="59"/>
      <c r="O672" s="60"/>
    </row>
    <row r="673" spans="14:15" x14ac:dyDescent="0.4">
      <c r="N673" s="59"/>
      <c r="O673" s="60"/>
    </row>
    <row r="674" spans="14:15" x14ac:dyDescent="0.4">
      <c r="N674" s="59"/>
      <c r="O674" s="60"/>
    </row>
    <row r="675" spans="14:15" x14ac:dyDescent="0.4">
      <c r="N675" s="59"/>
      <c r="O675" s="60"/>
    </row>
    <row r="676" spans="14:15" x14ac:dyDescent="0.4">
      <c r="N676" s="59"/>
      <c r="O676" s="60"/>
    </row>
    <row r="677" spans="14:15" x14ac:dyDescent="0.4">
      <c r="N677" s="59"/>
      <c r="O677" s="60"/>
    </row>
    <row r="678" spans="14:15" x14ac:dyDescent="0.4">
      <c r="N678" s="59"/>
      <c r="O678" s="60"/>
    </row>
    <row r="679" spans="14:15" x14ac:dyDescent="0.4">
      <c r="N679" s="59"/>
      <c r="O679" s="60"/>
    </row>
    <row r="680" spans="14:15" x14ac:dyDescent="0.4">
      <c r="N680" s="59"/>
      <c r="O680" s="60"/>
    </row>
    <row r="681" spans="14:15" x14ac:dyDescent="0.4">
      <c r="N681" s="59"/>
      <c r="O681" s="60"/>
    </row>
    <row r="682" spans="14:15" x14ac:dyDescent="0.4">
      <c r="N682" s="59"/>
      <c r="O682" s="60"/>
    </row>
    <row r="683" spans="14:15" x14ac:dyDescent="0.4">
      <c r="N683" s="59"/>
      <c r="O683" s="60"/>
    </row>
    <row r="684" spans="14:15" x14ac:dyDescent="0.4">
      <c r="N684" s="59"/>
      <c r="O684" s="60"/>
    </row>
    <row r="685" spans="14:15" x14ac:dyDescent="0.4">
      <c r="N685" s="59"/>
      <c r="O685" s="60"/>
    </row>
    <row r="686" spans="14:15" x14ac:dyDescent="0.4">
      <c r="N686" s="59"/>
      <c r="O686" s="60"/>
    </row>
    <row r="687" spans="14:15" x14ac:dyDescent="0.4">
      <c r="N687" s="59"/>
      <c r="O687" s="60"/>
    </row>
    <row r="688" spans="14:15" x14ac:dyDescent="0.4">
      <c r="N688" s="59"/>
      <c r="O688" s="60"/>
    </row>
    <row r="689" spans="14:15" x14ac:dyDescent="0.4">
      <c r="N689" s="59"/>
      <c r="O689" s="60"/>
    </row>
    <row r="690" spans="14:15" x14ac:dyDescent="0.4">
      <c r="N690" s="59"/>
      <c r="O690" s="60"/>
    </row>
    <row r="691" spans="14:15" x14ac:dyDescent="0.4">
      <c r="N691" s="59"/>
      <c r="O691" s="60"/>
    </row>
    <row r="692" spans="14:15" x14ac:dyDescent="0.4">
      <c r="N692" s="59"/>
      <c r="O692" s="60"/>
    </row>
    <row r="693" spans="14:15" x14ac:dyDescent="0.4">
      <c r="N693" s="59"/>
      <c r="O693" s="60"/>
    </row>
    <row r="694" spans="14:15" x14ac:dyDescent="0.4">
      <c r="N694" s="59"/>
      <c r="O694" s="60"/>
    </row>
    <row r="695" spans="14:15" x14ac:dyDescent="0.4">
      <c r="N695" s="59"/>
      <c r="O695" s="60"/>
    </row>
    <row r="696" spans="14:15" x14ac:dyDescent="0.4">
      <c r="N696" s="59"/>
      <c r="O696" s="60"/>
    </row>
    <row r="697" spans="14:15" x14ac:dyDescent="0.4">
      <c r="N697" s="59"/>
      <c r="O697" s="60"/>
    </row>
    <row r="698" spans="14:15" x14ac:dyDescent="0.4">
      <c r="N698" s="59"/>
      <c r="O698" s="60"/>
    </row>
    <row r="699" spans="14:15" x14ac:dyDescent="0.4">
      <c r="N699" s="59"/>
      <c r="O699" s="60"/>
    </row>
    <row r="700" spans="14:15" x14ac:dyDescent="0.4">
      <c r="N700" s="59"/>
      <c r="O700" s="60"/>
    </row>
    <row r="701" spans="14:15" x14ac:dyDescent="0.4">
      <c r="N701" s="59"/>
      <c r="O701" s="60"/>
    </row>
    <row r="702" spans="14:15" x14ac:dyDescent="0.4">
      <c r="N702" s="59"/>
      <c r="O702" s="60"/>
    </row>
    <row r="703" spans="14:15" x14ac:dyDescent="0.4">
      <c r="N703" s="59"/>
      <c r="O703" s="60"/>
    </row>
    <row r="704" spans="14:15" x14ac:dyDescent="0.4">
      <c r="N704" s="59"/>
      <c r="O704" s="60"/>
    </row>
    <row r="705" spans="14:15" x14ac:dyDescent="0.4">
      <c r="N705" s="59"/>
      <c r="O705" s="60"/>
    </row>
    <row r="706" spans="14:15" x14ac:dyDescent="0.4">
      <c r="N706" s="59"/>
      <c r="O706" s="60"/>
    </row>
    <row r="707" spans="14:15" x14ac:dyDescent="0.4">
      <c r="N707" s="59"/>
      <c r="O707" s="60"/>
    </row>
    <row r="708" spans="14:15" x14ac:dyDescent="0.4">
      <c r="N708" s="59"/>
      <c r="O708" s="60"/>
    </row>
    <row r="709" spans="14:15" x14ac:dyDescent="0.4">
      <c r="N709" s="59"/>
      <c r="O709" s="60"/>
    </row>
    <row r="710" spans="14:15" x14ac:dyDescent="0.4">
      <c r="N710" s="59"/>
      <c r="O710" s="60"/>
    </row>
    <row r="711" spans="14:15" x14ac:dyDescent="0.4">
      <c r="N711" s="59"/>
      <c r="O711" s="60"/>
    </row>
    <row r="712" spans="14:15" x14ac:dyDescent="0.4">
      <c r="N712" s="59"/>
      <c r="O712" s="60"/>
    </row>
    <row r="713" spans="14:15" x14ac:dyDescent="0.4">
      <c r="N713" s="59"/>
      <c r="O713" s="60"/>
    </row>
    <row r="714" spans="14:15" x14ac:dyDescent="0.4">
      <c r="N714" s="59"/>
      <c r="O714" s="60"/>
    </row>
    <row r="715" spans="14:15" x14ac:dyDescent="0.4">
      <c r="N715" s="59"/>
      <c r="O715" s="60"/>
    </row>
    <row r="716" spans="14:15" x14ac:dyDescent="0.4">
      <c r="N716" s="59"/>
      <c r="O716" s="60"/>
    </row>
    <row r="717" spans="14:15" x14ac:dyDescent="0.4">
      <c r="N717" s="59"/>
      <c r="O717" s="60"/>
    </row>
    <row r="718" spans="14:15" x14ac:dyDescent="0.4">
      <c r="N718" s="59"/>
      <c r="O718" s="60"/>
    </row>
    <row r="719" spans="14:15" x14ac:dyDescent="0.4">
      <c r="N719" s="59"/>
      <c r="O719" s="60"/>
    </row>
    <row r="720" spans="14:15" x14ac:dyDescent="0.4">
      <c r="N720" s="59"/>
      <c r="O720" s="60"/>
    </row>
    <row r="721" spans="14:15" x14ac:dyDescent="0.4">
      <c r="N721" s="59"/>
      <c r="O721" s="60"/>
    </row>
    <row r="722" spans="14:15" x14ac:dyDescent="0.4">
      <c r="N722" s="59"/>
      <c r="O722" s="60"/>
    </row>
    <row r="723" spans="14:15" x14ac:dyDescent="0.4">
      <c r="N723" s="59"/>
      <c r="O723" s="60"/>
    </row>
    <row r="724" spans="14:15" x14ac:dyDescent="0.4">
      <c r="N724" s="59"/>
      <c r="O724" s="60"/>
    </row>
    <row r="725" spans="14:15" x14ac:dyDescent="0.4">
      <c r="N725" s="59"/>
      <c r="O725" s="60"/>
    </row>
    <row r="726" spans="14:15" x14ac:dyDescent="0.4">
      <c r="N726" s="59"/>
      <c r="O726" s="60"/>
    </row>
    <row r="727" spans="14:15" x14ac:dyDescent="0.4">
      <c r="N727" s="59"/>
      <c r="O727" s="60"/>
    </row>
    <row r="728" spans="14:15" x14ac:dyDescent="0.4">
      <c r="N728" s="59"/>
      <c r="O728" s="60"/>
    </row>
    <row r="729" spans="14:15" x14ac:dyDescent="0.4">
      <c r="N729" s="59"/>
      <c r="O729" s="60"/>
    </row>
    <row r="730" spans="14:15" x14ac:dyDescent="0.4">
      <c r="N730" s="59"/>
      <c r="O730" s="60"/>
    </row>
    <row r="731" spans="14:15" x14ac:dyDescent="0.4">
      <c r="N731" s="59"/>
      <c r="O731" s="60"/>
    </row>
    <row r="732" spans="14:15" x14ac:dyDescent="0.4">
      <c r="N732" s="59"/>
      <c r="O732" s="60"/>
    </row>
    <row r="733" spans="14:15" x14ac:dyDescent="0.4">
      <c r="N733" s="59"/>
      <c r="O733" s="60"/>
    </row>
    <row r="734" spans="14:15" x14ac:dyDescent="0.4">
      <c r="N734" s="59"/>
      <c r="O734" s="60"/>
    </row>
    <row r="735" spans="14:15" x14ac:dyDescent="0.4">
      <c r="N735" s="59"/>
      <c r="O735" s="60"/>
    </row>
    <row r="736" spans="14:15" x14ac:dyDescent="0.4">
      <c r="N736" s="59"/>
      <c r="O736" s="60"/>
    </row>
    <row r="737" spans="14:15" x14ac:dyDescent="0.4">
      <c r="N737" s="59"/>
      <c r="O737" s="60"/>
    </row>
    <row r="738" spans="14:15" x14ac:dyDescent="0.4">
      <c r="N738" s="59"/>
      <c r="O738" s="60"/>
    </row>
    <row r="739" spans="14:15" x14ac:dyDescent="0.4">
      <c r="N739" s="59"/>
      <c r="O739" s="60"/>
    </row>
    <row r="740" spans="14:15" x14ac:dyDescent="0.4">
      <c r="N740" s="59"/>
      <c r="O740" s="60"/>
    </row>
    <row r="741" spans="14:15" x14ac:dyDescent="0.4">
      <c r="N741" s="59"/>
      <c r="O741" s="60"/>
    </row>
    <row r="742" spans="14:15" x14ac:dyDescent="0.4">
      <c r="N742" s="59"/>
      <c r="O742" s="60"/>
    </row>
    <row r="743" spans="14:15" x14ac:dyDescent="0.4">
      <c r="N743" s="59"/>
      <c r="O743" s="60"/>
    </row>
    <row r="744" spans="14:15" x14ac:dyDescent="0.4">
      <c r="N744" s="59"/>
      <c r="O744" s="60"/>
    </row>
    <row r="745" spans="14:15" x14ac:dyDescent="0.4">
      <c r="N745" s="59"/>
      <c r="O745" s="60"/>
    </row>
    <row r="746" spans="14:15" x14ac:dyDescent="0.4">
      <c r="N746" s="59"/>
      <c r="O746" s="60"/>
    </row>
    <row r="747" spans="14:15" x14ac:dyDescent="0.4">
      <c r="N747" s="59"/>
      <c r="O747" s="60"/>
    </row>
    <row r="748" spans="14:15" x14ac:dyDescent="0.4">
      <c r="N748" s="59"/>
      <c r="O748" s="60"/>
    </row>
    <row r="749" spans="14:15" x14ac:dyDescent="0.4">
      <c r="N749" s="59"/>
      <c r="O749" s="60"/>
    </row>
    <row r="750" spans="14:15" x14ac:dyDescent="0.4">
      <c r="N750" s="59"/>
      <c r="O750" s="60"/>
    </row>
    <row r="751" spans="14:15" x14ac:dyDescent="0.4">
      <c r="N751" s="59"/>
      <c r="O751" s="60"/>
    </row>
    <row r="752" spans="14:15" x14ac:dyDescent="0.4">
      <c r="N752" s="59"/>
      <c r="O752" s="60"/>
    </row>
    <row r="753" spans="14:15" x14ac:dyDescent="0.4">
      <c r="N753" s="59"/>
      <c r="O753" s="60"/>
    </row>
    <row r="754" spans="14:15" x14ac:dyDescent="0.4">
      <c r="N754" s="59"/>
      <c r="O754" s="60"/>
    </row>
    <row r="755" spans="14:15" x14ac:dyDescent="0.4">
      <c r="N755" s="59"/>
      <c r="O755" s="60"/>
    </row>
    <row r="756" spans="14:15" x14ac:dyDescent="0.4">
      <c r="N756" s="59"/>
      <c r="O756" s="60"/>
    </row>
    <row r="757" spans="14:15" x14ac:dyDescent="0.4">
      <c r="N757" s="59"/>
      <c r="O757" s="60"/>
    </row>
    <row r="758" spans="14:15" x14ac:dyDescent="0.4">
      <c r="N758" s="59"/>
      <c r="O758" s="60"/>
    </row>
    <row r="759" spans="14:15" x14ac:dyDescent="0.4">
      <c r="N759" s="59"/>
      <c r="O759" s="60"/>
    </row>
    <row r="760" spans="14:15" x14ac:dyDescent="0.4">
      <c r="N760" s="59"/>
      <c r="O760" s="60"/>
    </row>
    <row r="761" spans="14:15" x14ac:dyDescent="0.4">
      <c r="N761" s="59"/>
      <c r="O761" s="60"/>
    </row>
    <row r="762" spans="14:15" x14ac:dyDescent="0.4">
      <c r="N762" s="59"/>
      <c r="O762" s="60"/>
    </row>
    <row r="763" spans="14:15" x14ac:dyDescent="0.4">
      <c r="N763" s="59"/>
      <c r="O763" s="60"/>
    </row>
    <row r="764" spans="14:15" x14ac:dyDescent="0.4">
      <c r="N764" s="59"/>
      <c r="O764" s="60"/>
    </row>
    <row r="765" spans="14:15" x14ac:dyDescent="0.4">
      <c r="N765" s="59"/>
      <c r="O765" s="60"/>
    </row>
    <row r="766" spans="14:15" x14ac:dyDescent="0.4">
      <c r="N766" s="59"/>
      <c r="O766" s="60"/>
    </row>
    <row r="767" spans="14:15" x14ac:dyDescent="0.4">
      <c r="N767" s="59"/>
      <c r="O767" s="60"/>
    </row>
    <row r="768" spans="14:15" x14ac:dyDescent="0.4">
      <c r="N768" s="59"/>
      <c r="O768" s="60"/>
    </row>
    <row r="769" spans="14:15" x14ac:dyDescent="0.4">
      <c r="N769" s="59"/>
      <c r="O769" s="60"/>
    </row>
    <row r="770" spans="14:15" x14ac:dyDescent="0.4">
      <c r="N770" s="59"/>
      <c r="O770" s="60"/>
    </row>
    <row r="771" spans="14:15" x14ac:dyDescent="0.4">
      <c r="N771" s="59"/>
      <c r="O771" s="60"/>
    </row>
    <row r="772" spans="14:15" x14ac:dyDescent="0.4">
      <c r="N772" s="59"/>
      <c r="O772" s="60"/>
    </row>
    <row r="773" spans="14:15" x14ac:dyDescent="0.4">
      <c r="N773" s="59"/>
      <c r="O773" s="60"/>
    </row>
    <row r="774" spans="14:15" x14ac:dyDescent="0.4">
      <c r="N774" s="59"/>
      <c r="O774" s="60"/>
    </row>
    <row r="775" spans="14:15" x14ac:dyDescent="0.4">
      <c r="N775" s="59"/>
      <c r="O775" s="60"/>
    </row>
    <row r="776" spans="14:15" x14ac:dyDescent="0.4">
      <c r="N776" s="59"/>
      <c r="O776" s="60"/>
    </row>
    <row r="777" spans="14:15" x14ac:dyDescent="0.4">
      <c r="N777" s="59"/>
      <c r="O777" s="60"/>
    </row>
    <row r="778" spans="14:15" x14ac:dyDescent="0.4">
      <c r="N778" s="59"/>
      <c r="O778" s="60"/>
    </row>
    <row r="779" spans="14:15" x14ac:dyDescent="0.4">
      <c r="N779" s="59"/>
      <c r="O779" s="60"/>
    </row>
    <row r="780" spans="14:15" x14ac:dyDescent="0.4">
      <c r="N780" s="59"/>
      <c r="O780" s="60"/>
    </row>
    <row r="781" spans="14:15" x14ac:dyDescent="0.4">
      <c r="N781" s="59"/>
      <c r="O781" s="60"/>
    </row>
    <row r="782" spans="14:15" x14ac:dyDescent="0.4">
      <c r="N782" s="59"/>
      <c r="O782" s="60"/>
    </row>
    <row r="783" spans="14:15" x14ac:dyDescent="0.4">
      <c r="N783" s="59"/>
      <c r="O783" s="60"/>
    </row>
    <row r="784" spans="14:15" x14ac:dyDescent="0.4">
      <c r="N784" s="59"/>
      <c r="O784" s="60"/>
    </row>
    <row r="785" spans="14:15" x14ac:dyDescent="0.4">
      <c r="N785" s="59"/>
      <c r="O785" s="60"/>
    </row>
    <row r="786" spans="14:15" x14ac:dyDescent="0.4">
      <c r="N786" s="59"/>
      <c r="O786" s="60"/>
    </row>
    <row r="787" spans="14:15" x14ac:dyDescent="0.4">
      <c r="N787" s="59"/>
      <c r="O787" s="60"/>
    </row>
    <row r="788" spans="14:15" x14ac:dyDescent="0.4">
      <c r="N788" s="59"/>
      <c r="O788" s="60"/>
    </row>
    <row r="789" spans="14:15" x14ac:dyDescent="0.4">
      <c r="N789" s="59"/>
      <c r="O789" s="60"/>
    </row>
    <row r="790" spans="14:15" x14ac:dyDescent="0.4">
      <c r="N790" s="59"/>
      <c r="O790" s="60"/>
    </row>
    <row r="791" spans="14:15" x14ac:dyDescent="0.4">
      <c r="N791" s="59"/>
      <c r="O791" s="60"/>
    </row>
    <row r="792" spans="14:15" x14ac:dyDescent="0.4">
      <c r="N792" s="59"/>
      <c r="O792" s="60"/>
    </row>
    <row r="793" spans="14:15" x14ac:dyDescent="0.4">
      <c r="N793" s="59"/>
      <c r="O793" s="60"/>
    </row>
    <row r="794" spans="14:15" x14ac:dyDescent="0.4">
      <c r="N794" s="59"/>
      <c r="O794" s="60"/>
    </row>
    <row r="795" spans="14:15" x14ac:dyDescent="0.4">
      <c r="N795" s="59"/>
      <c r="O795" s="60"/>
    </row>
    <row r="796" spans="14:15" x14ac:dyDescent="0.4">
      <c r="N796" s="59"/>
      <c r="O796" s="60"/>
    </row>
    <row r="797" spans="14:15" x14ac:dyDescent="0.4">
      <c r="N797" s="59"/>
      <c r="O797" s="60"/>
    </row>
    <row r="798" spans="14:15" x14ac:dyDescent="0.4">
      <c r="N798" s="59"/>
      <c r="O798" s="60"/>
    </row>
    <row r="799" spans="14:15" x14ac:dyDescent="0.4">
      <c r="N799" s="59"/>
      <c r="O799" s="60"/>
    </row>
    <row r="800" spans="14:15" x14ac:dyDescent="0.4">
      <c r="N800" s="59"/>
      <c r="O800" s="60"/>
    </row>
    <row r="801" spans="14:15" x14ac:dyDescent="0.4">
      <c r="N801" s="59"/>
      <c r="O801" s="60"/>
    </row>
    <row r="802" spans="14:15" x14ac:dyDescent="0.4">
      <c r="N802" s="59"/>
      <c r="O802" s="60"/>
    </row>
    <row r="803" spans="14:15" x14ac:dyDescent="0.4">
      <c r="N803" s="59"/>
      <c r="O803" s="60"/>
    </row>
    <row r="804" spans="14:15" x14ac:dyDescent="0.4">
      <c r="N804" s="59"/>
      <c r="O804" s="60"/>
    </row>
    <row r="805" spans="14:15" x14ac:dyDescent="0.4">
      <c r="N805" s="59"/>
      <c r="O805" s="60"/>
    </row>
    <row r="806" spans="14:15" x14ac:dyDescent="0.4">
      <c r="N806" s="59"/>
      <c r="O806" s="60"/>
    </row>
    <row r="807" spans="14:15" x14ac:dyDescent="0.4">
      <c r="N807" s="59"/>
      <c r="O807" s="60"/>
    </row>
    <row r="808" spans="14:15" x14ac:dyDescent="0.4">
      <c r="N808" s="59"/>
      <c r="O808" s="60"/>
    </row>
    <row r="809" spans="14:15" x14ac:dyDescent="0.4">
      <c r="N809" s="59"/>
      <c r="O809" s="60"/>
    </row>
    <row r="810" spans="14:15" x14ac:dyDescent="0.4">
      <c r="N810" s="59"/>
      <c r="O810" s="60"/>
    </row>
    <row r="811" spans="14:15" x14ac:dyDescent="0.4">
      <c r="N811" s="59"/>
      <c r="O811" s="60"/>
    </row>
    <row r="812" spans="14:15" x14ac:dyDescent="0.4">
      <c r="N812" s="59"/>
      <c r="O812" s="60"/>
    </row>
    <row r="813" spans="14:15" x14ac:dyDescent="0.4">
      <c r="N813" s="59"/>
      <c r="O813" s="60"/>
    </row>
    <row r="814" spans="14:15" x14ac:dyDescent="0.4">
      <c r="N814" s="59"/>
      <c r="O814" s="60"/>
    </row>
    <row r="815" spans="14:15" x14ac:dyDescent="0.4">
      <c r="N815" s="59"/>
      <c r="O815" s="60"/>
    </row>
    <row r="816" spans="14:15" x14ac:dyDescent="0.4">
      <c r="N816" s="59"/>
      <c r="O816" s="60"/>
    </row>
    <row r="817" spans="14:15" x14ac:dyDescent="0.4">
      <c r="N817" s="59"/>
      <c r="O817" s="60"/>
    </row>
    <row r="818" spans="14:15" x14ac:dyDescent="0.4">
      <c r="N818" s="59"/>
      <c r="O818" s="60"/>
    </row>
    <row r="819" spans="14:15" x14ac:dyDescent="0.4">
      <c r="N819" s="59"/>
      <c r="O819" s="60"/>
    </row>
    <row r="820" spans="14:15" x14ac:dyDescent="0.4">
      <c r="N820" s="59"/>
      <c r="O820" s="60"/>
    </row>
    <row r="821" spans="14:15" x14ac:dyDescent="0.4">
      <c r="N821" s="59"/>
      <c r="O821" s="60"/>
    </row>
    <row r="822" spans="14:15" x14ac:dyDescent="0.4">
      <c r="N822" s="59"/>
      <c r="O822" s="60"/>
    </row>
    <row r="823" spans="14:15" x14ac:dyDescent="0.4">
      <c r="N823" s="59"/>
      <c r="O823" s="60"/>
    </row>
    <row r="824" spans="14:15" x14ac:dyDescent="0.4">
      <c r="N824" s="59"/>
      <c r="O824" s="60"/>
    </row>
    <row r="825" spans="14:15" x14ac:dyDescent="0.4">
      <c r="N825" s="59"/>
      <c r="O825" s="60"/>
    </row>
    <row r="826" spans="14:15" x14ac:dyDescent="0.4">
      <c r="N826" s="59"/>
      <c r="O826" s="60"/>
    </row>
    <row r="827" spans="14:15" x14ac:dyDescent="0.4">
      <c r="N827" s="59"/>
      <c r="O827" s="60"/>
    </row>
    <row r="828" spans="14:15" x14ac:dyDescent="0.4">
      <c r="N828" s="59"/>
      <c r="O828" s="60"/>
    </row>
    <row r="829" spans="14:15" x14ac:dyDescent="0.4">
      <c r="N829" s="59"/>
      <c r="O829" s="60"/>
    </row>
    <row r="830" spans="14:15" x14ac:dyDescent="0.4">
      <c r="N830" s="59"/>
      <c r="O830" s="60"/>
    </row>
    <row r="831" spans="14:15" x14ac:dyDescent="0.4">
      <c r="N831" s="59"/>
      <c r="O831" s="60"/>
    </row>
    <row r="832" spans="14:15" x14ac:dyDescent="0.4">
      <c r="N832" s="59"/>
      <c r="O832" s="60"/>
    </row>
    <row r="833" spans="14:15" x14ac:dyDescent="0.4">
      <c r="N833" s="59"/>
      <c r="O833" s="60"/>
    </row>
    <row r="834" spans="14:15" x14ac:dyDescent="0.4">
      <c r="N834" s="59"/>
      <c r="O834" s="60"/>
    </row>
    <row r="835" spans="14:15" x14ac:dyDescent="0.4">
      <c r="N835" s="59"/>
      <c r="O835" s="60"/>
    </row>
    <row r="836" spans="14:15" x14ac:dyDescent="0.4">
      <c r="N836" s="59"/>
      <c r="O836" s="60"/>
    </row>
    <row r="837" spans="14:15" x14ac:dyDescent="0.4">
      <c r="N837" s="59"/>
      <c r="O837" s="60"/>
    </row>
    <row r="838" spans="14:15" x14ac:dyDescent="0.4">
      <c r="N838" s="59"/>
      <c r="O838" s="60"/>
    </row>
    <row r="839" spans="14:15" x14ac:dyDescent="0.4">
      <c r="N839" s="59"/>
      <c r="O839" s="60"/>
    </row>
    <row r="840" spans="14:15" x14ac:dyDescent="0.4">
      <c r="N840" s="59"/>
      <c r="O840" s="60"/>
    </row>
    <row r="841" spans="14:15" x14ac:dyDescent="0.4">
      <c r="N841" s="59"/>
      <c r="O841" s="60"/>
    </row>
    <row r="842" spans="14:15" x14ac:dyDescent="0.4">
      <c r="N842" s="59"/>
      <c r="O842" s="60"/>
    </row>
    <row r="843" spans="14:15" x14ac:dyDescent="0.4">
      <c r="N843" s="59"/>
      <c r="O843" s="60"/>
    </row>
    <row r="844" spans="14:15" x14ac:dyDescent="0.4">
      <c r="N844" s="59"/>
      <c r="O844" s="60"/>
    </row>
    <row r="845" spans="14:15" x14ac:dyDescent="0.4">
      <c r="N845" s="59"/>
      <c r="O845" s="60"/>
    </row>
    <row r="846" spans="14:15" x14ac:dyDescent="0.4">
      <c r="N846" s="59"/>
      <c r="O846" s="60"/>
    </row>
    <row r="847" spans="14:15" x14ac:dyDescent="0.4">
      <c r="N847" s="59"/>
      <c r="O847" s="60"/>
    </row>
    <row r="848" spans="14:15" x14ac:dyDescent="0.4">
      <c r="N848" s="59"/>
      <c r="O848" s="60"/>
    </row>
    <row r="849" spans="14:15" x14ac:dyDescent="0.4">
      <c r="N849" s="59"/>
      <c r="O849" s="60"/>
    </row>
    <row r="850" spans="14:15" x14ac:dyDescent="0.4">
      <c r="N850" s="59"/>
      <c r="O850" s="60"/>
    </row>
    <row r="851" spans="14:15" x14ac:dyDescent="0.4">
      <c r="N851" s="59"/>
      <c r="O851" s="60"/>
    </row>
    <row r="852" spans="14:15" x14ac:dyDescent="0.4">
      <c r="N852" s="59"/>
      <c r="O852" s="60"/>
    </row>
    <row r="853" spans="14:15" x14ac:dyDescent="0.4">
      <c r="N853" s="59"/>
      <c r="O853" s="60"/>
    </row>
    <row r="854" spans="14:15" x14ac:dyDescent="0.4">
      <c r="N854" s="59"/>
      <c r="O854" s="60"/>
    </row>
    <row r="855" spans="14:15" x14ac:dyDescent="0.4">
      <c r="N855" s="59"/>
    </row>
    <row r="856" spans="14:15" x14ac:dyDescent="0.4">
      <c r="N856" s="59"/>
      <c r="O856" s="60"/>
    </row>
    <row r="857" spans="14:15" x14ac:dyDescent="0.4">
      <c r="N857" s="59"/>
      <c r="O857" s="60"/>
    </row>
    <row r="858" spans="14:15" x14ac:dyDescent="0.4">
      <c r="N858" s="59"/>
      <c r="O858" s="60"/>
    </row>
    <row r="859" spans="14:15" x14ac:dyDescent="0.4">
      <c r="N859" s="59"/>
      <c r="O859" s="60"/>
    </row>
    <row r="860" spans="14:15" x14ac:dyDescent="0.4">
      <c r="N860" s="59"/>
      <c r="O860" s="60"/>
    </row>
    <row r="861" spans="14:15" x14ac:dyDescent="0.4">
      <c r="N861" s="59"/>
      <c r="O861" s="60"/>
    </row>
    <row r="862" spans="14:15" x14ac:dyDescent="0.4">
      <c r="N862" s="59"/>
      <c r="O862" s="60"/>
    </row>
    <row r="863" spans="14:15" x14ac:dyDescent="0.4">
      <c r="N863" s="59"/>
      <c r="O863" s="60"/>
    </row>
    <row r="864" spans="14:15" x14ac:dyDescent="0.4">
      <c r="N864" s="59"/>
      <c r="O864" s="60"/>
    </row>
    <row r="865" spans="14:15" x14ac:dyDescent="0.4">
      <c r="N865" s="59"/>
      <c r="O865" s="60"/>
    </row>
    <row r="866" spans="14:15" x14ac:dyDescent="0.4">
      <c r="N866" s="59"/>
      <c r="O866" s="60"/>
    </row>
    <row r="867" spans="14:15" x14ac:dyDescent="0.4">
      <c r="N867" s="59"/>
      <c r="O867" s="60"/>
    </row>
    <row r="868" spans="14:15" x14ac:dyDescent="0.4">
      <c r="N868" s="59"/>
      <c r="O868" s="60"/>
    </row>
    <row r="869" spans="14:15" x14ac:dyDescent="0.4">
      <c r="N869" s="59"/>
      <c r="O869" s="60"/>
    </row>
    <row r="870" spans="14:15" x14ac:dyDescent="0.4">
      <c r="N870" s="59"/>
      <c r="O870" s="60"/>
    </row>
    <row r="871" spans="14:15" x14ac:dyDescent="0.4">
      <c r="N871" s="59"/>
      <c r="O871" s="60"/>
    </row>
    <row r="872" spans="14:15" x14ac:dyDescent="0.4">
      <c r="N872" s="59"/>
      <c r="O872" s="60"/>
    </row>
    <row r="873" spans="14:15" x14ac:dyDescent="0.4">
      <c r="N873" s="59"/>
      <c r="O873" s="60"/>
    </row>
    <row r="874" spans="14:15" x14ac:dyDescent="0.4">
      <c r="N874" s="59"/>
      <c r="O874" s="60"/>
    </row>
    <row r="875" spans="14:15" x14ac:dyDescent="0.4">
      <c r="N875" s="59"/>
      <c r="O875" s="60"/>
    </row>
    <row r="876" spans="14:15" x14ac:dyDescent="0.4">
      <c r="N876" s="59"/>
      <c r="O876" s="60"/>
    </row>
    <row r="877" spans="14:15" x14ac:dyDescent="0.4">
      <c r="N877" s="59"/>
      <c r="O877" s="60"/>
    </row>
    <row r="878" spans="14:15" x14ac:dyDescent="0.4">
      <c r="N878" s="59"/>
      <c r="O878" s="60"/>
    </row>
    <row r="879" spans="14:15" x14ac:dyDescent="0.4">
      <c r="N879" s="59"/>
      <c r="O879" s="60"/>
    </row>
    <row r="880" spans="14:15" x14ac:dyDescent="0.4">
      <c r="N880" s="59"/>
      <c r="O880" s="60"/>
    </row>
    <row r="881" spans="14:15" x14ac:dyDescent="0.4">
      <c r="N881" s="59"/>
      <c r="O881" s="60"/>
    </row>
    <row r="882" spans="14:15" x14ac:dyDescent="0.4">
      <c r="N882" s="59"/>
      <c r="O882" s="60"/>
    </row>
    <row r="883" spans="14:15" x14ac:dyDescent="0.4">
      <c r="N883" s="59"/>
      <c r="O883" s="60"/>
    </row>
    <row r="884" spans="14:15" x14ac:dyDescent="0.4">
      <c r="N884" s="59"/>
      <c r="O884" s="60"/>
    </row>
    <row r="885" spans="14:15" x14ac:dyDescent="0.4">
      <c r="N885" s="59"/>
      <c r="O885" s="60"/>
    </row>
    <row r="886" spans="14:15" x14ac:dyDescent="0.4">
      <c r="N886" s="59"/>
      <c r="O886" s="60"/>
    </row>
    <row r="887" spans="14:15" x14ac:dyDescent="0.4">
      <c r="N887" s="59"/>
      <c r="O887" s="60"/>
    </row>
    <row r="888" spans="14:15" x14ac:dyDescent="0.4">
      <c r="N888" s="59"/>
      <c r="O888" s="60"/>
    </row>
    <row r="889" spans="14:15" x14ac:dyDescent="0.4">
      <c r="N889" s="59"/>
      <c r="O889" s="60"/>
    </row>
    <row r="890" spans="14:15" x14ac:dyDescent="0.4">
      <c r="N890" s="59"/>
      <c r="O890" s="60"/>
    </row>
    <row r="891" spans="14:15" x14ac:dyDescent="0.4">
      <c r="N891" s="59"/>
      <c r="O891" s="60"/>
    </row>
    <row r="892" spans="14:15" x14ac:dyDescent="0.4">
      <c r="N892" s="59"/>
      <c r="O892" s="60"/>
    </row>
    <row r="893" spans="14:15" x14ac:dyDescent="0.4">
      <c r="N893" s="59"/>
      <c r="O893" s="60"/>
    </row>
    <row r="894" spans="14:15" x14ac:dyDescent="0.4">
      <c r="N894" s="59"/>
    </row>
    <row r="895" spans="14:15" x14ac:dyDescent="0.4">
      <c r="N895" s="59"/>
      <c r="O895" s="60"/>
    </row>
    <row r="896" spans="14:15" x14ac:dyDescent="0.4">
      <c r="N896" s="59"/>
      <c r="O896" s="60"/>
    </row>
    <row r="897" spans="14:15" x14ac:dyDescent="0.4">
      <c r="N897" s="59"/>
      <c r="O897" s="60"/>
    </row>
    <row r="898" spans="14:15" x14ac:dyDescent="0.4">
      <c r="N898" s="59"/>
      <c r="O898" s="60"/>
    </row>
    <row r="899" spans="14:15" x14ac:dyDescent="0.4">
      <c r="N899" s="59"/>
      <c r="O899" s="60"/>
    </row>
    <row r="900" spans="14:15" x14ac:dyDescent="0.4">
      <c r="N900" s="59"/>
      <c r="O900" s="60"/>
    </row>
    <row r="901" spans="14:15" x14ac:dyDescent="0.4">
      <c r="N901" s="59"/>
      <c r="O901" s="60"/>
    </row>
    <row r="902" spans="14:15" x14ac:dyDescent="0.4">
      <c r="N902" s="59"/>
      <c r="O902" s="60"/>
    </row>
    <row r="903" spans="14:15" x14ac:dyDescent="0.4">
      <c r="N903" s="59"/>
      <c r="O903" s="60"/>
    </row>
    <row r="904" spans="14:15" x14ac:dyDescent="0.4">
      <c r="N904" s="59"/>
      <c r="O904" s="60"/>
    </row>
    <row r="905" spans="14:15" x14ac:dyDescent="0.4">
      <c r="N905" s="59"/>
      <c r="O905" s="60"/>
    </row>
    <row r="906" spans="14:15" x14ac:dyDescent="0.4">
      <c r="N906" s="59"/>
      <c r="O906" s="60"/>
    </row>
    <row r="907" spans="14:15" x14ac:dyDescent="0.4">
      <c r="N907" s="59"/>
      <c r="O907" s="60"/>
    </row>
    <row r="908" spans="14:15" x14ac:dyDescent="0.4">
      <c r="N908" s="59"/>
      <c r="O908" s="60"/>
    </row>
    <row r="909" spans="14:15" x14ac:dyDescent="0.4">
      <c r="N909" s="59"/>
      <c r="O909" s="60"/>
    </row>
    <row r="910" spans="14:15" x14ac:dyDescent="0.4">
      <c r="N910" s="59"/>
      <c r="O910" s="60"/>
    </row>
    <row r="911" spans="14:15" x14ac:dyDescent="0.4">
      <c r="N911" s="59"/>
      <c r="O911" s="60"/>
    </row>
    <row r="912" spans="14:15" x14ac:dyDescent="0.4">
      <c r="N912" s="59"/>
      <c r="O912" s="60"/>
    </row>
    <row r="913" spans="14:15" x14ac:dyDescent="0.4">
      <c r="N913" s="59"/>
      <c r="O913" s="60"/>
    </row>
    <row r="914" spans="14:15" x14ac:dyDescent="0.4">
      <c r="N914" s="59"/>
      <c r="O914" s="60"/>
    </row>
    <row r="915" spans="14:15" x14ac:dyDescent="0.4">
      <c r="N915" s="59"/>
      <c r="O915" s="60"/>
    </row>
    <row r="916" spans="14:15" x14ac:dyDescent="0.4">
      <c r="N916" s="59"/>
      <c r="O916" s="60"/>
    </row>
    <row r="917" spans="14:15" x14ac:dyDescent="0.4">
      <c r="N917" s="59"/>
      <c r="O917" s="60"/>
    </row>
    <row r="918" spans="14:15" x14ac:dyDescent="0.4">
      <c r="N918" s="59"/>
      <c r="O918" s="60"/>
    </row>
    <row r="919" spans="14:15" x14ac:dyDescent="0.4">
      <c r="N919" s="59"/>
      <c r="O919" s="60"/>
    </row>
    <row r="920" spans="14:15" x14ac:dyDescent="0.4">
      <c r="N920" s="59"/>
      <c r="O920" s="60"/>
    </row>
    <row r="921" spans="14:15" x14ac:dyDescent="0.4">
      <c r="N921" s="59"/>
      <c r="O921" s="60"/>
    </row>
    <row r="922" spans="14:15" x14ac:dyDescent="0.4">
      <c r="N922" s="59"/>
      <c r="O922" s="60"/>
    </row>
    <row r="923" spans="14:15" x14ac:dyDescent="0.4">
      <c r="N923" s="59"/>
      <c r="O923" s="60"/>
    </row>
    <row r="924" spans="14:15" x14ac:dyDescent="0.4">
      <c r="N924" s="59"/>
      <c r="O924" s="60"/>
    </row>
    <row r="925" spans="14:15" x14ac:dyDescent="0.4">
      <c r="N925" s="59"/>
      <c r="O925" s="60"/>
    </row>
    <row r="926" spans="14:15" x14ac:dyDescent="0.4">
      <c r="N926" s="59"/>
      <c r="O926" s="60"/>
    </row>
    <row r="927" spans="14:15" x14ac:dyDescent="0.4">
      <c r="N927" s="59"/>
      <c r="O927" s="60"/>
    </row>
    <row r="928" spans="14:15" x14ac:dyDescent="0.4">
      <c r="N928" s="59"/>
      <c r="O928" s="60"/>
    </row>
    <row r="929" spans="14:15" x14ac:dyDescent="0.4">
      <c r="N929" s="59"/>
      <c r="O929" s="60"/>
    </row>
    <row r="930" spans="14:15" x14ac:dyDescent="0.4">
      <c r="N930" s="59"/>
    </row>
    <row r="931" spans="14:15" x14ac:dyDescent="0.4">
      <c r="N931" s="59"/>
      <c r="O931" s="60"/>
    </row>
    <row r="932" spans="14:15" x14ac:dyDescent="0.4">
      <c r="N932" s="59"/>
      <c r="O932" s="60"/>
    </row>
    <row r="933" spans="14:15" x14ac:dyDescent="0.4">
      <c r="N933" s="59"/>
      <c r="O933" s="60"/>
    </row>
    <row r="934" spans="14:15" x14ac:dyDescent="0.4">
      <c r="N934" s="59"/>
      <c r="O934" s="60"/>
    </row>
    <row r="935" spans="14:15" x14ac:dyDescent="0.4">
      <c r="N935" s="59"/>
      <c r="O935" s="60"/>
    </row>
    <row r="936" spans="14:15" x14ac:dyDescent="0.4">
      <c r="N936" s="59"/>
      <c r="O936" s="60"/>
    </row>
    <row r="937" spans="14:15" x14ac:dyDescent="0.4">
      <c r="N937" s="59"/>
      <c r="O937" s="60"/>
    </row>
    <row r="938" spans="14:15" x14ac:dyDescent="0.4">
      <c r="N938" s="59"/>
      <c r="O938" s="60"/>
    </row>
    <row r="939" spans="14:15" x14ac:dyDescent="0.4">
      <c r="N939" s="59"/>
      <c r="O939" s="60"/>
    </row>
    <row r="940" spans="14:15" x14ac:dyDescent="0.4">
      <c r="N940" s="59"/>
      <c r="O940" s="60"/>
    </row>
    <row r="941" spans="14:15" x14ac:dyDescent="0.4">
      <c r="N941" s="59"/>
      <c r="O941" s="60"/>
    </row>
    <row r="942" spans="14:15" x14ac:dyDescent="0.4">
      <c r="N942" s="59"/>
      <c r="O942" s="60"/>
    </row>
    <row r="943" spans="14:15" x14ac:dyDescent="0.4">
      <c r="N943" s="59"/>
      <c r="O943" s="60"/>
    </row>
    <row r="944" spans="14:15" x14ac:dyDescent="0.4">
      <c r="N944" s="59"/>
      <c r="O944" s="60"/>
    </row>
    <row r="945" spans="14:15" x14ac:dyDescent="0.4">
      <c r="N945" s="59"/>
      <c r="O945" s="60"/>
    </row>
    <row r="946" spans="14:15" x14ac:dyDescent="0.4">
      <c r="N946" s="59"/>
      <c r="O946" s="60"/>
    </row>
    <row r="947" spans="14:15" x14ac:dyDescent="0.4">
      <c r="N947" s="59"/>
      <c r="O947" s="60"/>
    </row>
    <row r="948" spans="14:15" x14ac:dyDescent="0.4">
      <c r="N948" s="59"/>
      <c r="O948" s="60"/>
    </row>
    <row r="949" spans="14:15" x14ac:dyDescent="0.4">
      <c r="N949" s="59"/>
      <c r="O949" s="60"/>
    </row>
    <row r="950" spans="14:15" x14ac:dyDescent="0.4">
      <c r="N950" s="59"/>
      <c r="O950" s="60"/>
    </row>
    <row r="951" spans="14:15" x14ac:dyDescent="0.4">
      <c r="N951" s="59"/>
      <c r="O951" s="60"/>
    </row>
    <row r="952" spans="14:15" x14ac:dyDescent="0.4">
      <c r="N952" s="59"/>
      <c r="O952" s="60"/>
    </row>
    <row r="953" spans="14:15" x14ac:dyDescent="0.4">
      <c r="N953" s="59"/>
      <c r="O953" s="60"/>
    </row>
    <row r="954" spans="14:15" x14ac:dyDescent="0.4">
      <c r="N954" s="59"/>
      <c r="O954" s="60"/>
    </row>
    <row r="955" spans="14:15" x14ac:dyDescent="0.4">
      <c r="N955" s="59"/>
      <c r="O955" s="60"/>
    </row>
    <row r="956" spans="14:15" x14ac:dyDescent="0.4">
      <c r="N956" s="59"/>
      <c r="O956" s="60"/>
    </row>
    <row r="957" spans="14:15" x14ac:dyDescent="0.4">
      <c r="N957" s="59"/>
      <c r="O957" s="60"/>
    </row>
    <row r="958" spans="14:15" x14ac:dyDescent="0.4">
      <c r="N958" s="59"/>
      <c r="O958" s="60"/>
    </row>
    <row r="959" spans="14:15" x14ac:dyDescent="0.4">
      <c r="N959" s="59"/>
      <c r="O959" s="60"/>
    </row>
    <row r="960" spans="14:15" x14ac:dyDescent="0.4">
      <c r="N960" s="59"/>
      <c r="O960" s="60"/>
    </row>
    <row r="961" spans="14:15" x14ac:dyDescent="0.4">
      <c r="N961" s="59"/>
      <c r="O961" s="60"/>
    </row>
    <row r="962" spans="14:15" x14ac:dyDescent="0.4">
      <c r="N962" s="59"/>
      <c r="O962" s="60"/>
    </row>
    <row r="963" spans="14:15" x14ac:dyDescent="0.4">
      <c r="N963" s="59"/>
      <c r="O963" s="60"/>
    </row>
    <row r="964" spans="14:15" x14ac:dyDescent="0.4">
      <c r="N964" s="59"/>
      <c r="O964" s="60"/>
    </row>
    <row r="965" spans="14:15" x14ac:dyDescent="0.4">
      <c r="N965" s="59"/>
      <c r="O965" s="60"/>
    </row>
    <row r="966" spans="14:15" x14ac:dyDescent="0.4">
      <c r="N966" s="59"/>
      <c r="O966" s="60"/>
    </row>
    <row r="967" spans="14:15" x14ac:dyDescent="0.4">
      <c r="N967" s="59"/>
      <c r="O967" s="60"/>
    </row>
    <row r="968" spans="14:15" x14ac:dyDescent="0.4">
      <c r="N968" s="59"/>
      <c r="O968" s="60"/>
    </row>
    <row r="969" spans="14:15" x14ac:dyDescent="0.4">
      <c r="N969" s="59"/>
      <c r="O969" s="60"/>
    </row>
    <row r="970" spans="14:15" x14ac:dyDescent="0.4">
      <c r="N970" s="59"/>
      <c r="O970" s="60"/>
    </row>
    <row r="971" spans="14:15" x14ac:dyDescent="0.4">
      <c r="N971" s="59"/>
      <c r="O971" s="60"/>
    </row>
    <row r="972" spans="14:15" x14ac:dyDescent="0.4">
      <c r="N972" s="59"/>
      <c r="O972" s="60"/>
    </row>
    <row r="973" spans="14:15" x14ac:dyDescent="0.4">
      <c r="N973" s="59"/>
      <c r="O973" s="60"/>
    </row>
    <row r="974" spans="14:15" x14ac:dyDescent="0.4">
      <c r="N974" s="59"/>
      <c r="O974" s="60"/>
    </row>
    <row r="975" spans="14:15" x14ac:dyDescent="0.4">
      <c r="N975" s="59"/>
      <c r="O975" s="60"/>
    </row>
    <row r="976" spans="14:15" x14ac:dyDescent="0.4">
      <c r="N976" s="59"/>
      <c r="O976" s="60"/>
    </row>
    <row r="977" spans="14:15" x14ac:dyDescent="0.4">
      <c r="N977" s="59"/>
      <c r="O977" s="60"/>
    </row>
    <row r="978" spans="14:15" x14ac:dyDescent="0.4">
      <c r="N978" s="59"/>
      <c r="O978" s="60"/>
    </row>
    <row r="979" spans="14:15" x14ac:dyDescent="0.4">
      <c r="N979" s="59"/>
      <c r="O979" s="60"/>
    </row>
    <row r="980" spans="14:15" x14ac:dyDescent="0.4">
      <c r="N980" s="59"/>
      <c r="O980" s="60"/>
    </row>
    <row r="981" spans="14:15" x14ac:dyDescent="0.4">
      <c r="N981" s="59"/>
      <c r="O981" s="60"/>
    </row>
    <row r="982" spans="14:15" x14ac:dyDescent="0.4">
      <c r="N982" s="59"/>
      <c r="O982" s="60"/>
    </row>
    <row r="983" spans="14:15" x14ac:dyDescent="0.4">
      <c r="N983" s="59"/>
      <c r="O983" s="60"/>
    </row>
    <row r="984" spans="14:15" x14ac:dyDescent="0.4">
      <c r="N984" s="59"/>
      <c r="O984" s="60"/>
    </row>
    <row r="985" spans="14:15" x14ac:dyDescent="0.4">
      <c r="N985" s="59"/>
      <c r="O985" s="60"/>
    </row>
    <row r="986" spans="14:15" x14ac:dyDescent="0.4">
      <c r="N986" s="59"/>
      <c r="O986" s="60"/>
    </row>
    <row r="987" spans="14:15" x14ac:dyDescent="0.4">
      <c r="N987" s="59"/>
      <c r="O987" s="60"/>
    </row>
    <row r="988" spans="14:15" x14ac:dyDescent="0.4">
      <c r="N988" s="59"/>
      <c r="O988" s="60"/>
    </row>
    <row r="989" spans="14:15" x14ac:dyDescent="0.4">
      <c r="N989" s="59"/>
      <c r="O989" s="60"/>
    </row>
    <row r="990" spans="14:15" x14ac:dyDescent="0.4">
      <c r="N990" s="59"/>
      <c r="O990" s="60"/>
    </row>
    <row r="991" spans="14:15" x14ac:dyDescent="0.4">
      <c r="N991" s="59"/>
      <c r="O991" s="60"/>
    </row>
    <row r="992" spans="14:15" x14ac:dyDescent="0.4">
      <c r="N992" s="59"/>
      <c r="O992" s="60"/>
    </row>
    <row r="993" spans="14:15" x14ac:dyDescent="0.4">
      <c r="N993" s="59"/>
      <c r="O993" s="60"/>
    </row>
    <row r="994" spans="14:15" x14ac:dyDescent="0.4">
      <c r="N994" s="59"/>
      <c r="O994" s="60"/>
    </row>
    <row r="995" spans="14:15" x14ac:dyDescent="0.4">
      <c r="N995" s="59"/>
      <c r="O995" s="60"/>
    </row>
    <row r="996" spans="14:15" x14ac:dyDescent="0.4">
      <c r="N996" s="59"/>
      <c r="O996" s="60"/>
    </row>
    <row r="997" spans="14:15" x14ac:dyDescent="0.4">
      <c r="N997" s="59"/>
      <c r="O997" s="60"/>
    </row>
    <row r="998" spans="14:15" x14ac:dyDescent="0.4">
      <c r="N998" s="59"/>
      <c r="O998" s="60"/>
    </row>
    <row r="999" spans="14:15" x14ac:dyDescent="0.4">
      <c r="N999" s="59"/>
      <c r="O999" s="60"/>
    </row>
    <row r="1000" spans="14:15" x14ac:dyDescent="0.4">
      <c r="N1000" s="59"/>
      <c r="O1000" s="60"/>
    </row>
    <row r="1001" spans="14:15" x14ac:dyDescent="0.4">
      <c r="N1001" s="59"/>
      <c r="O1001" s="60"/>
    </row>
    <row r="1002" spans="14:15" x14ac:dyDescent="0.4">
      <c r="N1002" s="59"/>
      <c r="O1002" s="60"/>
    </row>
    <row r="1003" spans="14:15" x14ac:dyDescent="0.4">
      <c r="N1003" s="59"/>
      <c r="O1003" s="60"/>
    </row>
    <row r="1004" spans="14:15" x14ac:dyDescent="0.4">
      <c r="N1004" s="59"/>
      <c r="O1004" s="60"/>
    </row>
    <row r="1005" spans="14:15" x14ac:dyDescent="0.4">
      <c r="N1005" s="59"/>
      <c r="O1005" s="60"/>
    </row>
    <row r="1006" spans="14:15" x14ac:dyDescent="0.4">
      <c r="N1006" s="59"/>
      <c r="O1006" s="60"/>
    </row>
    <row r="1007" spans="14:15" x14ac:dyDescent="0.4">
      <c r="N1007" s="59"/>
      <c r="O1007" s="60"/>
    </row>
    <row r="1008" spans="14:15" x14ac:dyDescent="0.4">
      <c r="N1008" s="59"/>
      <c r="O1008" s="60"/>
    </row>
    <row r="1009" spans="14:15" x14ac:dyDescent="0.4">
      <c r="N1009" s="59"/>
      <c r="O1009" s="60"/>
    </row>
    <row r="1010" spans="14:15" x14ac:dyDescent="0.4">
      <c r="N1010" s="59"/>
      <c r="O1010" s="60"/>
    </row>
    <row r="1011" spans="14:15" x14ac:dyDescent="0.4">
      <c r="N1011" s="59"/>
      <c r="O1011" s="60"/>
    </row>
    <row r="1012" spans="14:15" x14ac:dyDescent="0.4">
      <c r="N1012" s="59"/>
      <c r="O1012" s="60"/>
    </row>
    <row r="1013" spans="14:15" x14ac:dyDescent="0.4">
      <c r="N1013" s="59"/>
      <c r="O1013" s="60"/>
    </row>
    <row r="1014" spans="14:15" x14ac:dyDescent="0.4">
      <c r="N1014" s="59"/>
      <c r="O1014" s="60"/>
    </row>
    <row r="1015" spans="14:15" x14ac:dyDescent="0.4">
      <c r="N1015" s="59"/>
      <c r="O1015" s="60"/>
    </row>
    <row r="1016" spans="14:15" x14ac:dyDescent="0.4">
      <c r="N1016" s="59"/>
      <c r="O1016" s="60"/>
    </row>
    <row r="1017" spans="14:15" x14ac:dyDescent="0.4">
      <c r="N1017" s="59"/>
      <c r="O1017" s="60"/>
    </row>
    <row r="1018" spans="14:15" x14ac:dyDescent="0.4">
      <c r="N1018" s="59"/>
      <c r="O1018" s="60"/>
    </row>
    <row r="1019" spans="14:15" x14ac:dyDescent="0.4">
      <c r="N1019" s="59"/>
      <c r="O1019" s="60"/>
    </row>
    <row r="1020" spans="14:15" x14ac:dyDescent="0.4">
      <c r="N1020" s="59"/>
      <c r="O1020" s="60"/>
    </row>
    <row r="1021" spans="14:15" x14ac:dyDescent="0.4">
      <c r="N1021" s="59"/>
      <c r="O1021" s="60"/>
    </row>
    <row r="1022" spans="14:15" x14ac:dyDescent="0.4">
      <c r="N1022" s="59"/>
      <c r="O1022" s="60"/>
    </row>
    <row r="1023" spans="14:15" x14ac:dyDescent="0.4">
      <c r="N1023" s="59"/>
      <c r="O1023" s="60"/>
    </row>
    <row r="1024" spans="14:15" x14ac:dyDescent="0.4">
      <c r="N1024" s="59"/>
      <c r="O1024" s="60"/>
    </row>
    <row r="1025" spans="14:15" x14ac:dyDescent="0.4">
      <c r="N1025" s="59"/>
      <c r="O1025" s="60"/>
    </row>
    <row r="1026" spans="14:15" x14ac:dyDescent="0.4">
      <c r="N1026" s="59"/>
      <c r="O1026" s="60"/>
    </row>
    <row r="1027" spans="14:15" x14ac:dyDescent="0.4">
      <c r="N1027" s="59"/>
      <c r="O1027" s="60"/>
    </row>
    <row r="1028" spans="14:15" x14ac:dyDescent="0.4">
      <c r="N1028" s="59"/>
      <c r="O1028" s="60"/>
    </row>
    <row r="1029" spans="14:15" x14ac:dyDescent="0.4">
      <c r="N1029" s="59"/>
      <c r="O1029" s="60"/>
    </row>
    <row r="1030" spans="14:15" x14ac:dyDescent="0.4">
      <c r="N1030" s="59"/>
      <c r="O1030" s="60"/>
    </row>
    <row r="1031" spans="14:15" x14ac:dyDescent="0.4">
      <c r="N1031" s="59"/>
      <c r="O1031" s="60"/>
    </row>
    <row r="1032" spans="14:15" x14ac:dyDescent="0.4">
      <c r="N1032" s="59"/>
      <c r="O1032" s="60"/>
    </row>
    <row r="1033" spans="14:15" x14ac:dyDescent="0.4">
      <c r="N1033" s="59"/>
      <c r="O1033" s="60"/>
    </row>
    <row r="1034" spans="14:15" x14ac:dyDescent="0.4">
      <c r="N1034" s="59"/>
      <c r="O1034" s="60"/>
    </row>
    <row r="1035" spans="14:15" x14ac:dyDescent="0.4">
      <c r="N1035" s="59"/>
      <c r="O1035" s="60"/>
    </row>
    <row r="1036" spans="14:15" x14ac:dyDescent="0.4">
      <c r="N1036" s="59"/>
      <c r="O1036" s="60"/>
    </row>
    <row r="1037" spans="14:15" x14ac:dyDescent="0.4">
      <c r="N1037" s="59"/>
      <c r="O1037" s="60"/>
    </row>
    <row r="1038" spans="14:15" x14ac:dyDescent="0.4">
      <c r="N1038" s="59"/>
      <c r="O1038" s="60"/>
    </row>
    <row r="1039" spans="14:15" x14ac:dyDescent="0.4">
      <c r="N1039" s="59"/>
      <c r="O1039" s="60"/>
    </row>
    <row r="1040" spans="14:15" x14ac:dyDescent="0.4">
      <c r="N1040" s="59"/>
      <c r="O1040" s="60"/>
    </row>
    <row r="1041" spans="14:15" x14ac:dyDescent="0.4">
      <c r="N1041" s="59"/>
      <c r="O1041" s="60"/>
    </row>
    <row r="1042" spans="14:15" x14ac:dyDescent="0.4">
      <c r="N1042" s="59"/>
      <c r="O1042" s="60"/>
    </row>
    <row r="1043" spans="14:15" x14ac:dyDescent="0.4">
      <c r="N1043" s="59"/>
      <c r="O1043" s="60"/>
    </row>
    <row r="1044" spans="14:15" x14ac:dyDescent="0.4">
      <c r="N1044" s="59"/>
      <c r="O1044" s="60"/>
    </row>
    <row r="1045" spans="14:15" x14ac:dyDescent="0.4">
      <c r="N1045" s="59"/>
      <c r="O1045" s="60"/>
    </row>
    <row r="1046" spans="14:15" x14ac:dyDescent="0.4">
      <c r="N1046" s="59"/>
      <c r="O1046" s="60"/>
    </row>
    <row r="1047" spans="14:15" x14ac:dyDescent="0.4">
      <c r="N1047" s="59"/>
      <c r="O1047" s="60"/>
    </row>
    <row r="1048" spans="14:15" x14ac:dyDescent="0.4">
      <c r="N1048" s="59"/>
      <c r="O1048" s="60"/>
    </row>
    <row r="1049" spans="14:15" x14ac:dyDescent="0.4">
      <c r="N1049" s="59"/>
      <c r="O1049" s="60"/>
    </row>
    <row r="1050" spans="14:15" x14ac:dyDescent="0.4">
      <c r="N1050" s="59"/>
      <c r="O1050" s="60"/>
    </row>
    <row r="1051" spans="14:15" x14ac:dyDescent="0.4">
      <c r="N1051" s="59"/>
      <c r="O1051" s="60"/>
    </row>
    <row r="1052" spans="14:15" x14ac:dyDescent="0.4">
      <c r="N1052" s="59"/>
      <c r="O1052" s="60"/>
    </row>
    <row r="1053" spans="14:15" x14ac:dyDescent="0.4">
      <c r="N1053" s="59"/>
      <c r="O1053" s="60"/>
    </row>
    <row r="1054" spans="14:15" x14ac:dyDescent="0.4">
      <c r="N1054" s="59"/>
      <c r="O1054" s="60"/>
    </row>
    <row r="1055" spans="14:15" x14ac:dyDescent="0.4">
      <c r="N1055" s="59"/>
      <c r="O1055" s="60"/>
    </row>
    <row r="1056" spans="14:15" x14ac:dyDescent="0.4">
      <c r="N1056" s="59"/>
      <c r="O1056" s="60"/>
    </row>
    <row r="1057" spans="14:15" x14ac:dyDescent="0.4">
      <c r="N1057" s="59"/>
      <c r="O1057" s="60"/>
    </row>
    <row r="1058" spans="14:15" x14ac:dyDescent="0.4">
      <c r="N1058" s="59"/>
      <c r="O1058" s="60"/>
    </row>
    <row r="1059" spans="14:15" x14ac:dyDescent="0.4">
      <c r="N1059" s="59"/>
      <c r="O1059" s="60"/>
    </row>
    <row r="1060" spans="14:15" x14ac:dyDescent="0.4">
      <c r="N1060" s="59"/>
      <c r="O1060" s="60"/>
    </row>
    <row r="1061" spans="14:15" x14ac:dyDescent="0.4">
      <c r="N1061" s="59"/>
      <c r="O1061" s="60"/>
    </row>
    <row r="1062" spans="14:15" x14ac:dyDescent="0.4">
      <c r="N1062" s="59"/>
      <c r="O1062" s="60"/>
    </row>
    <row r="1063" spans="14:15" x14ac:dyDescent="0.4">
      <c r="N1063" s="59"/>
      <c r="O1063" s="60"/>
    </row>
    <row r="1064" spans="14:15" x14ac:dyDescent="0.4">
      <c r="N1064" s="59"/>
      <c r="O1064" s="60"/>
    </row>
    <row r="1065" spans="14:15" x14ac:dyDescent="0.4">
      <c r="N1065" s="59"/>
      <c r="O1065" s="60"/>
    </row>
    <row r="1066" spans="14:15" x14ac:dyDescent="0.4">
      <c r="N1066" s="59"/>
      <c r="O1066" s="60"/>
    </row>
    <row r="1067" spans="14:15" x14ac:dyDescent="0.4">
      <c r="N1067" s="59"/>
      <c r="O1067" s="60"/>
    </row>
    <row r="1068" spans="14:15" x14ac:dyDescent="0.4">
      <c r="N1068" s="59"/>
      <c r="O1068" s="60"/>
    </row>
    <row r="1069" spans="14:15" x14ac:dyDescent="0.4">
      <c r="N1069" s="59"/>
      <c r="O1069" s="60"/>
    </row>
    <row r="1070" spans="14:15" x14ac:dyDescent="0.4">
      <c r="N1070" s="59"/>
      <c r="O1070" s="60"/>
    </row>
    <row r="1071" spans="14:15" x14ac:dyDescent="0.4">
      <c r="N1071" s="59"/>
      <c r="O1071" s="60"/>
    </row>
    <row r="1072" spans="14:15" x14ac:dyDescent="0.4">
      <c r="N1072" s="59"/>
      <c r="O1072" s="60"/>
    </row>
    <row r="1073" spans="14:15" x14ac:dyDescent="0.4">
      <c r="N1073" s="59"/>
      <c r="O1073" s="60"/>
    </row>
    <row r="1074" spans="14:15" x14ac:dyDescent="0.4">
      <c r="N1074" s="59"/>
      <c r="O1074" s="60"/>
    </row>
    <row r="1075" spans="14:15" x14ac:dyDescent="0.4">
      <c r="N1075" s="59"/>
      <c r="O1075" s="60"/>
    </row>
    <row r="1076" spans="14:15" x14ac:dyDescent="0.4">
      <c r="N1076" s="59"/>
      <c r="O1076" s="60"/>
    </row>
    <row r="1077" spans="14:15" x14ac:dyDescent="0.4">
      <c r="N1077" s="59"/>
      <c r="O1077" s="60"/>
    </row>
    <row r="1078" spans="14:15" x14ac:dyDescent="0.4">
      <c r="N1078" s="59"/>
      <c r="O1078" s="60"/>
    </row>
    <row r="1079" spans="14:15" x14ac:dyDescent="0.4">
      <c r="N1079" s="59"/>
      <c r="O1079" s="60"/>
    </row>
    <row r="1080" spans="14:15" x14ac:dyDescent="0.4">
      <c r="N1080" s="59"/>
      <c r="O1080" s="60"/>
    </row>
    <row r="1081" spans="14:15" x14ac:dyDescent="0.4">
      <c r="N1081" s="59"/>
      <c r="O1081" s="60"/>
    </row>
    <row r="1082" spans="14:15" x14ac:dyDescent="0.4">
      <c r="N1082" s="59"/>
      <c r="O1082" s="60"/>
    </row>
    <row r="1083" spans="14:15" x14ac:dyDescent="0.4">
      <c r="N1083" s="59"/>
      <c r="O1083" s="60"/>
    </row>
    <row r="1084" spans="14:15" x14ac:dyDescent="0.4">
      <c r="N1084" s="59"/>
      <c r="O1084" s="60"/>
    </row>
    <row r="1085" spans="14:15" x14ac:dyDescent="0.4">
      <c r="N1085" s="59"/>
    </row>
    <row r="1086" spans="14:15" x14ac:dyDescent="0.4">
      <c r="N1086" s="59"/>
      <c r="O1086" s="60"/>
    </row>
    <row r="1087" spans="14:15" x14ac:dyDescent="0.4">
      <c r="N1087" s="59"/>
      <c r="O1087" s="60"/>
    </row>
    <row r="1088" spans="14:15" x14ac:dyDescent="0.4">
      <c r="N1088" s="59"/>
      <c r="O1088" s="60"/>
    </row>
    <row r="1089" spans="14:15" x14ac:dyDescent="0.4">
      <c r="N1089" s="59"/>
      <c r="O1089" s="60"/>
    </row>
    <row r="1090" spans="14:15" x14ac:dyDescent="0.4">
      <c r="N1090" s="59"/>
      <c r="O1090" s="60"/>
    </row>
    <row r="1091" spans="14:15" x14ac:dyDescent="0.4">
      <c r="N1091" s="59"/>
      <c r="O1091" s="60"/>
    </row>
    <row r="1092" spans="14:15" x14ac:dyDescent="0.4">
      <c r="N1092" s="59"/>
      <c r="O1092" s="60"/>
    </row>
    <row r="1093" spans="14:15" x14ac:dyDescent="0.4">
      <c r="N1093" s="59"/>
      <c r="O1093" s="60"/>
    </row>
    <row r="1094" spans="14:15" x14ac:dyDescent="0.4">
      <c r="N1094" s="59"/>
      <c r="O1094" s="60"/>
    </row>
    <row r="1095" spans="14:15" x14ac:dyDescent="0.4">
      <c r="N1095" s="59"/>
      <c r="O1095" s="60"/>
    </row>
    <row r="1096" spans="14:15" x14ac:dyDescent="0.4">
      <c r="N1096" s="59"/>
      <c r="O1096" s="60"/>
    </row>
    <row r="1097" spans="14:15" x14ac:dyDescent="0.4">
      <c r="N1097" s="59"/>
      <c r="O1097" s="60"/>
    </row>
    <row r="1098" spans="14:15" x14ac:dyDescent="0.4">
      <c r="N1098" s="59"/>
      <c r="O1098" s="60"/>
    </row>
    <row r="1099" spans="14:15" x14ac:dyDescent="0.4">
      <c r="N1099" s="59"/>
      <c r="O1099" s="60"/>
    </row>
    <row r="1100" spans="14:15" x14ac:dyDescent="0.4">
      <c r="N1100" s="59"/>
      <c r="O1100" s="60"/>
    </row>
    <row r="1101" spans="14:15" x14ac:dyDescent="0.4">
      <c r="N1101" s="59"/>
      <c r="O1101" s="60"/>
    </row>
    <row r="1102" spans="14:15" x14ac:dyDescent="0.4">
      <c r="N1102" s="59"/>
      <c r="O1102" s="60"/>
    </row>
    <row r="1103" spans="14:15" x14ac:dyDescent="0.4">
      <c r="N1103" s="59"/>
      <c r="O1103" s="60"/>
    </row>
    <row r="1104" spans="14:15" x14ac:dyDescent="0.4">
      <c r="N1104" s="59"/>
      <c r="O1104" s="60"/>
    </row>
    <row r="1105" spans="14:15" x14ac:dyDescent="0.4">
      <c r="N1105" s="59"/>
      <c r="O1105" s="60"/>
    </row>
    <row r="1106" spans="14:15" x14ac:dyDescent="0.4">
      <c r="N1106" s="59"/>
      <c r="O1106" s="60"/>
    </row>
    <row r="1107" spans="14:15" x14ac:dyDescent="0.4">
      <c r="N1107" s="59"/>
      <c r="O1107" s="60"/>
    </row>
    <row r="1108" spans="14:15" x14ac:dyDescent="0.4">
      <c r="N1108" s="59"/>
      <c r="O1108" s="60"/>
    </row>
    <row r="1109" spans="14:15" x14ac:dyDescent="0.4">
      <c r="N1109" s="59"/>
      <c r="O1109" s="60"/>
    </row>
    <row r="1110" spans="14:15" x14ac:dyDescent="0.4">
      <c r="N1110" s="59"/>
      <c r="O1110" s="60"/>
    </row>
    <row r="1111" spans="14:15" x14ac:dyDescent="0.4">
      <c r="N1111" s="59"/>
      <c r="O1111" s="60"/>
    </row>
    <row r="1112" spans="14:15" x14ac:dyDescent="0.4">
      <c r="N1112" s="59"/>
      <c r="O1112" s="60"/>
    </row>
    <row r="1113" spans="14:15" x14ac:dyDescent="0.4">
      <c r="N1113" s="59"/>
      <c r="O1113" s="60"/>
    </row>
    <row r="1114" spans="14:15" x14ac:dyDescent="0.4">
      <c r="N1114" s="59"/>
      <c r="O1114" s="60"/>
    </row>
    <row r="1115" spans="14:15" x14ac:dyDescent="0.4">
      <c r="N1115" s="59"/>
      <c r="O1115" s="60"/>
    </row>
    <row r="1116" spans="14:15" x14ac:dyDescent="0.4">
      <c r="N1116" s="59"/>
      <c r="O1116" s="60"/>
    </row>
    <row r="1117" spans="14:15" x14ac:dyDescent="0.4">
      <c r="N1117" s="59"/>
      <c r="O1117" s="60"/>
    </row>
    <row r="1118" spans="14:15" x14ac:dyDescent="0.4">
      <c r="N1118" s="59"/>
      <c r="O1118" s="60"/>
    </row>
    <row r="1119" spans="14:15" x14ac:dyDescent="0.4">
      <c r="N1119" s="59"/>
      <c r="O1119" s="60"/>
    </row>
    <row r="1120" spans="14:15" x14ac:dyDescent="0.4">
      <c r="N1120" s="59"/>
      <c r="O1120" s="60"/>
    </row>
    <row r="1121" spans="14:15" x14ac:dyDescent="0.4">
      <c r="N1121" s="59"/>
      <c r="O1121" s="60"/>
    </row>
    <row r="1122" spans="14:15" x14ac:dyDescent="0.4">
      <c r="N1122" s="59"/>
      <c r="O1122" s="60"/>
    </row>
    <row r="1123" spans="14:15" x14ac:dyDescent="0.4">
      <c r="N1123" s="59"/>
      <c r="O1123" s="60"/>
    </row>
    <row r="1124" spans="14:15" x14ac:dyDescent="0.4">
      <c r="N1124" s="59"/>
      <c r="O1124" s="60"/>
    </row>
    <row r="1125" spans="14:15" x14ac:dyDescent="0.4">
      <c r="N1125" s="59"/>
      <c r="O1125" s="60"/>
    </row>
    <row r="1126" spans="14:15" x14ac:dyDescent="0.4">
      <c r="N1126" s="59"/>
      <c r="O1126" s="60"/>
    </row>
    <row r="1127" spans="14:15" x14ac:dyDescent="0.4">
      <c r="N1127" s="59"/>
      <c r="O1127" s="60"/>
    </row>
    <row r="1128" spans="14:15" x14ac:dyDescent="0.4">
      <c r="N1128" s="59"/>
      <c r="O1128" s="60"/>
    </row>
    <row r="1129" spans="14:15" x14ac:dyDescent="0.4">
      <c r="N1129" s="59"/>
      <c r="O1129" s="60"/>
    </row>
    <row r="1130" spans="14:15" x14ac:dyDescent="0.4">
      <c r="N1130" s="59"/>
      <c r="O1130" s="60"/>
    </row>
    <row r="1131" spans="14:15" x14ac:dyDescent="0.4">
      <c r="N1131" s="59"/>
      <c r="O1131" s="60"/>
    </row>
    <row r="1132" spans="14:15" x14ac:dyDescent="0.4">
      <c r="N1132" s="59"/>
      <c r="O1132" s="60"/>
    </row>
    <row r="1133" spans="14:15" x14ac:dyDescent="0.4">
      <c r="N1133" s="59"/>
      <c r="O1133" s="60"/>
    </row>
    <row r="1134" spans="14:15" x14ac:dyDescent="0.4">
      <c r="N1134" s="59"/>
      <c r="O1134" s="60"/>
    </row>
    <row r="1135" spans="14:15" x14ac:dyDescent="0.4">
      <c r="N1135" s="59"/>
      <c r="O1135" s="60"/>
    </row>
    <row r="1136" spans="14:15" x14ac:dyDescent="0.4">
      <c r="N1136" s="59"/>
      <c r="O1136" s="60"/>
    </row>
    <row r="1137" spans="14:15" x14ac:dyDescent="0.4">
      <c r="N1137" s="59"/>
      <c r="O1137" s="60"/>
    </row>
    <row r="1138" spans="14:15" x14ac:dyDescent="0.4">
      <c r="N1138" s="59"/>
      <c r="O1138" s="60"/>
    </row>
    <row r="1139" spans="14:15" x14ac:dyDescent="0.4">
      <c r="N1139" s="59"/>
      <c r="O1139" s="60"/>
    </row>
    <row r="1140" spans="14:15" x14ac:dyDescent="0.4">
      <c r="N1140" s="59"/>
      <c r="O1140" s="60"/>
    </row>
    <row r="1141" spans="14:15" x14ac:dyDescent="0.4">
      <c r="N1141" s="59"/>
      <c r="O1141" s="60"/>
    </row>
    <row r="1142" spans="14:15" x14ac:dyDescent="0.4">
      <c r="N1142" s="59"/>
      <c r="O1142" s="60"/>
    </row>
    <row r="1143" spans="14:15" x14ac:dyDescent="0.4">
      <c r="N1143" s="59"/>
      <c r="O1143" s="60"/>
    </row>
    <row r="1144" spans="14:15" x14ac:dyDescent="0.4">
      <c r="N1144" s="59"/>
      <c r="O1144" s="60"/>
    </row>
    <row r="1145" spans="14:15" x14ac:dyDescent="0.4">
      <c r="N1145" s="59"/>
      <c r="O1145" s="60"/>
    </row>
    <row r="1146" spans="14:15" x14ac:dyDescent="0.4">
      <c r="N1146" s="59"/>
      <c r="O1146" s="60"/>
    </row>
    <row r="1147" spans="14:15" x14ac:dyDescent="0.4">
      <c r="N1147" s="59"/>
      <c r="O1147" s="60"/>
    </row>
    <row r="1148" spans="14:15" x14ac:dyDescent="0.4">
      <c r="N1148" s="59"/>
      <c r="O1148" s="60"/>
    </row>
    <row r="1149" spans="14:15" x14ac:dyDescent="0.4">
      <c r="N1149" s="59"/>
      <c r="O1149" s="60"/>
    </row>
    <row r="1150" spans="14:15" x14ac:dyDescent="0.4">
      <c r="N1150" s="59"/>
      <c r="O1150" s="60"/>
    </row>
    <row r="1151" spans="14:15" x14ac:dyDescent="0.4">
      <c r="N1151" s="59"/>
      <c r="O1151" s="60"/>
    </row>
    <row r="1152" spans="14:15" x14ac:dyDescent="0.4">
      <c r="N1152" s="59"/>
      <c r="O1152" s="60"/>
    </row>
    <row r="1153" spans="14:15" x14ac:dyDescent="0.4">
      <c r="N1153" s="59"/>
      <c r="O1153" s="60"/>
    </row>
    <row r="1154" spans="14:15" x14ac:dyDescent="0.4">
      <c r="N1154" s="59"/>
      <c r="O1154" s="60"/>
    </row>
    <row r="1155" spans="14:15" x14ac:dyDescent="0.4">
      <c r="N1155" s="59"/>
      <c r="O1155" s="60"/>
    </row>
    <row r="1156" spans="14:15" x14ac:dyDescent="0.4">
      <c r="N1156" s="59"/>
      <c r="O1156" s="60"/>
    </row>
    <row r="1157" spans="14:15" x14ac:dyDescent="0.4">
      <c r="N1157" s="59"/>
      <c r="O1157" s="60"/>
    </row>
    <row r="1158" spans="14:15" x14ac:dyDescent="0.4">
      <c r="N1158" s="59"/>
      <c r="O1158" s="60"/>
    </row>
    <row r="1159" spans="14:15" x14ac:dyDescent="0.4">
      <c r="N1159" s="59"/>
      <c r="O1159" s="60"/>
    </row>
    <row r="1160" spans="14:15" x14ac:dyDescent="0.4">
      <c r="N1160" s="59"/>
      <c r="O1160" s="60"/>
    </row>
    <row r="1161" spans="14:15" x14ac:dyDescent="0.4">
      <c r="N1161" s="59"/>
      <c r="O1161" s="60"/>
    </row>
    <row r="1162" spans="14:15" x14ac:dyDescent="0.4">
      <c r="N1162" s="59"/>
      <c r="O1162" s="60"/>
    </row>
    <row r="1163" spans="14:15" x14ac:dyDescent="0.4">
      <c r="N1163" s="59"/>
      <c r="O1163" s="60"/>
    </row>
    <row r="1164" spans="14:15" x14ac:dyDescent="0.4">
      <c r="N1164" s="59"/>
      <c r="O1164" s="60"/>
    </row>
    <row r="1165" spans="14:15" x14ac:dyDescent="0.4">
      <c r="N1165" s="59"/>
      <c r="O1165" s="60"/>
    </row>
    <row r="1166" spans="14:15" x14ac:dyDescent="0.4">
      <c r="N1166" s="59"/>
      <c r="O1166" s="60"/>
    </row>
    <row r="1167" spans="14:15" x14ac:dyDescent="0.4">
      <c r="N1167" s="59"/>
      <c r="O1167" s="60"/>
    </row>
    <row r="1168" spans="14:15" x14ac:dyDescent="0.4">
      <c r="N1168" s="59"/>
      <c r="O1168" s="60"/>
    </row>
    <row r="1169" spans="14:15" x14ac:dyDescent="0.4">
      <c r="N1169" s="59"/>
      <c r="O1169" s="60"/>
    </row>
    <row r="1170" spans="14:15" x14ac:dyDescent="0.4">
      <c r="N1170" s="59"/>
      <c r="O1170" s="60"/>
    </row>
    <row r="1171" spans="14:15" x14ac:dyDescent="0.4">
      <c r="N1171" s="59"/>
      <c r="O1171" s="60"/>
    </row>
    <row r="1172" spans="14:15" x14ac:dyDescent="0.4">
      <c r="N1172" s="59"/>
      <c r="O1172" s="60"/>
    </row>
    <row r="1173" spans="14:15" x14ac:dyDescent="0.4">
      <c r="N1173" s="59"/>
      <c r="O1173" s="60"/>
    </row>
    <row r="1174" spans="14:15" x14ac:dyDescent="0.4">
      <c r="N1174" s="59"/>
      <c r="O1174" s="60"/>
    </row>
    <row r="1175" spans="14:15" x14ac:dyDescent="0.4">
      <c r="N1175" s="59"/>
      <c r="O1175" s="60"/>
    </row>
    <row r="1176" spans="14:15" x14ac:dyDescent="0.4">
      <c r="N1176" s="59"/>
      <c r="O1176" s="60"/>
    </row>
    <row r="1177" spans="14:15" x14ac:dyDescent="0.4">
      <c r="N1177" s="59"/>
      <c r="O1177" s="60"/>
    </row>
    <row r="1178" spans="14:15" x14ac:dyDescent="0.4">
      <c r="N1178" s="59"/>
      <c r="O1178" s="60"/>
    </row>
    <row r="1179" spans="14:15" x14ac:dyDescent="0.4">
      <c r="N1179" s="59"/>
      <c r="O1179" s="60"/>
    </row>
    <row r="1180" spans="14:15" x14ac:dyDescent="0.4">
      <c r="N1180" s="59"/>
      <c r="O1180" s="60"/>
    </row>
    <row r="1181" spans="14:15" x14ac:dyDescent="0.4">
      <c r="N1181" s="59"/>
      <c r="O1181" s="60"/>
    </row>
    <row r="1182" spans="14:15" x14ac:dyDescent="0.4">
      <c r="N1182" s="59"/>
      <c r="O1182" s="60"/>
    </row>
    <row r="1183" spans="14:15" x14ac:dyDescent="0.4">
      <c r="N1183" s="59"/>
      <c r="O1183" s="60"/>
    </row>
    <row r="1184" spans="14:15" x14ac:dyDescent="0.4">
      <c r="N1184" s="59"/>
      <c r="O1184" s="60"/>
    </row>
    <row r="1185" spans="14:15" x14ac:dyDescent="0.4">
      <c r="N1185" s="59"/>
      <c r="O1185" s="60"/>
    </row>
    <row r="1186" spans="14:15" x14ac:dyDescent="0.4">
      <c r="N1186" s="59"/>
      <c r="O1186" s="60"/>
    </row>
    <row r="1187" spans="14:15" x14ac:dyDescent="0.4">
      <c r="N1187" s="59"/>
      <c r="O1187" s="60"/>
    </row>
    <row r="1188" spans="14:15" x14ac:dyDescent="0.4">
      <c r="N1188" s="59"/>
      <c r="O1188" s="60"/>
    </row>
    <row r="1189" spans="14:15" x14ac:dyDescent="0.4">
      <c r="N1189" s="59"/>
      <c r="O1189" s="60"/>
    </row>
    <row r="1190" spans="14:15" x14ac:dyDescent="0.4">
      <c r="N1190" s="59"/>
      <c r="O1190" s="60"/>
    </row>
    <row r="1191" spans="14:15" x14ac:dyDescent="0.4">
      <c r="N1191" s="59"/>
      <c r="O1191" s="60"/>
    </row>
    <row r="1192" spans="14:15" x14ac:dyDescent="0.4">
      <c r="N1192" s="59"/>
      <c r="O1192" s="60"/>
    </row>
    <row r="1193" spans="14:15" x14ac:dyDescent="0.4">
      <c r="N1193" s="59"/>
      <c r="O1193" s="60"/>
    </row>
    <row r="1194" spans="14:15" x14ac:dyDescent="0.4">
      <c r="N1194" s="59"/>
      <c r="O1194" s="60"/>
    </row>
    <row r="1195" spans="14:15" x14ac:dyDescent="0.4">
      <c r="N1195" s="59"/>
      <c r="O1195" s="60"/>
    </row>
    <row r="1196" spans="14:15" x14ac:dyDescent="0.4">
      <c r="N1196" s="59"/>
      <c r="O1196" s="60"/>
    </row>
    <row r="1197" spans="14:15" x14ac:dyDescent="0.4">
      <c r="N1197" s="59"/>
      <c r="O1197" s="60"/>
    </row>
    <row r="1198" spans="14:15" x14ac:dyDescent="0.4">
      <c r="N1198" s="59"/>
      <c r="O1198" s="60"/>
    </row>
    <row r="1199" spans="14:15" x14ac:dyDescent="0.4">
      <c r="N1199" s="59"/>
      <c r="O1199" s="60"/>
    </row>
    <row r="1200" spans="14:15" x14ac:dyDescent="0.4">
      <c r="N1200" s="59"/>
      <c r="O1200" s="60"/>
    </row>
    <row r="1201" spans="14:15" x14ac:dyDescent="0.4">
      <c r="N1201" s="59"/>
      <c r="O1201" s="60"/>
    </row>
    <row r="1202" spans="14:15" x14ac:dyDescent="0.4">
      <c r="N1202" s="59"/>
      <c r="O1202" s="60"/>
    </row>
    <row r="1203" spans="14:15" x14ac:dyDescent="0.4">
      <c r="N1203" s="59"/>
      <c r="O1203" s="60"/>
    </row>
    <row r="1204" spans="14:15" x14ac:dyDescent="0.4">
      <c r="N1204" s="59"/>
      <c r="O1204" s="60"/>
    </row>
    <row r="1205" spans="14:15" x14ac:dyDescent="0.4">
      <c r="N1205" s="59"/>
      <c r="O1205" s="60"/>
    </row>
    <row r="1206" spans="14:15" x14ac:dyDescent="0.4">
      <c r="N1206" s="59"/>
      <c r="O1206" s="60"/>
    </row>
    <row r="1207" spans="14:15" x14ac:dyDescent="0.4">
      <c r="N1207" s="59"/>
      <c r="O1207" s="60"/>
    </row>
    <row r="1208" spans="14:15" x14ac:dyDescent="0.4">
      <c r="N1208" s="59"/>
      <c r="O1208" s="60"/>
    </row>
    <row r="1209" spans="14:15" x14ac:dyDescent="0.4">
      <c r="N1209" s="59"/>
      <c r="O1209" s="60"/>
    </row>
    <row r="1210" spans="14:15" x14ac:dyDescent="0.4">
      <c r="N1210" s="59"/>
      <c r="O1210" s="60"/>
    </row>
    <row r="1211" spans="14:15" x14ac:dyDescent="0.4">
      <c r="N1211" s="59"/>
      <c r="O1211" s="60"/>
    </row>
    <row r="1212" spans="14:15" x14ac:dyDescent="0.4">
      <c r="N1212" s="59"/>
      <c r="O1212" s="60"/>
    </row>
    <row r="1213" spans="14:15" x14ac:dyDescent="0.4">
      <c r="N1213" s="59"/>
      <c r="O1213" s="60"/>
    </row>
    <row r="1214" spans="14:15" x14ac:dyDescent="0.4">
      <c r="N1214" s="59"/>
      <c r="O1214" s="60"/>
    </row>
    <row r="1215" spans="14:15" x14ac:dyDescent="0.4">
      <c r="N1215" s="59"/>
      <c r="O1215" s="60"/>
    </row>
    <row r="1216" spans="14:15" x14ac:dyDescent="0.4">
      <c r="N1216" s="59"/>
      <c r="O1216" s="60"/>
    </row>
    <row r="1217" spans="14:15" x14ac:dyDescent="0.4">
      <c r="N1217" s="59"/>
      <c r="O1217" s="60"/>
    </row>
    <row r="1218" spans="14:15" x14ac:dyDescent="0.4">
      <c r="N1218" s="59"/>
      <c r="O1218" s="60"/>
    </row>
    <row r="1219" spans="14:15" x14ac:dyDescent="0.4">
      <c r="N1219" s="59"/>
      <c r="O1219" s="60"/>
    </row>
    <row r="1220" spans="14:15" x14ac:dyDescent="0.4">
      <c r="N1220" s="59"/>
      <c r="O1220" s="60"/>
    </row>
    <row r="1221" spans="14:15" x14ac:dyDescent="0.4">
      <c r="N1221" s="59"/>
      <c r="O1221" s="60"/>
    </row>
    <row r="1222" spans="14:15" x14ac:dyDescent="0.4">
      <c r="N1222" s="59"/>
      <c r="O1222" s="60"/>
    </row>
    <row r="1223" spans="14:15" x14ac:dyDescent="0.4">
      <c r="N1223" s="59"/>
      <c r="O1223" s="60"/>
    </row>
    <row r="1224" spans="14:15" x14ac:dyDescent="0.4">
      <c r="N1224" s="59"/>
      <c r="O1224" s="60"/>
    </row>
    <row r="1225" spans="14:15" x14ac:dyDescent="0.4">
      <c r="N1225" s="59"/>
      <c r="O1225" s="60"/>
    </row>
    <row r="1226" spans="14:15" x14ac:dyDescent="0.4">
      <c r="N1226" s="59"/>
      <c r="O1226" s="60"/>
    </row>
    <row r="1227" spans="14:15" x14ac:dyDescent="0.4">
      <c r="N1227" s="59"/>
      <c r="O1227" s="60"/>
    </row>
    <row r="1228" spans="14:15" x14ac:dyDescent="0.4">
      <c r="N1228" s="59"/>
      <c r="O1228" s="60"/>
    </row>
    <row r="1229" spans="14:15" x14ac:dyDescent="0.4">
      <c r="N1229" s="59"/>
      <c r="O1229" s="60"/>
    </row>
    <row r="1230" spans="14:15" x14ac:dyDescent="0.4">
      <c r="N1230" s="59"/>
      <c r="O1230" s="60"/>
    </row>
    <row r="1231" spans="14:15" x14ac:dyDescent="0.4">
      <c r="N1231" s="59"/>
      <c r="O1231" s="60"/>
    </row>
    <row r="1232" spans="14:15" x14ac:dyDescent="0.4">
      <c r="N1232" s="59"/>
      <c r="O1232" s="60"/>
    </row>
    <row r="1233" spans="14:15" x14ac:dyDescent="0.4">
      <c r="N1233" s="59"/>
      <c r="O1233" s="60"/>
    </row>
    <row r="1234" spans="14:15" x14ac:dyDescent="0.4">
      <c r="N1234" s="59"/>
      <c r="O1234" s="60"/>
    </row>
    <row r="1235" spans="14:15" x14ac:dyDescent="0.4">
      <c r="N1235" s="59"/>
      <c r="O1235" s="60"/>
    </row>
    <row r="1236" spans="14:15" x14ac:dyDescent="0.4">
      <c r="N1236" s="59"/>
      <c r="O1236" s="60"/>
    </row>
    <row r="1237" spans="14:15" x14ac:dyDescent="0.4">
      <c r="N1237" s="59"/>
      <c r="O1237" s="60"/>
    </row>
    <row r="1238" spans="14:15" x14ac:dyDescent="0.4">
      <c r="N1238" s="59"/>
      <c r="O1238" s="60"/>
    </row>
    <row r="1239" spans="14:15" x14ac:dyDescent="0.4">
      <c r="N1239" s="59"/>
      <c r="O1239" s="60"/>
    </row>
    <row r="1240" spans="14:15" x14ac:dyDescent="0.4">
      <c r="N1240" s="59"/>
      <c r="O1240" s="60"/>
    </row>
    <row r="1241" spans="14:15" x14ac:dyDescent="0.4">
      <c r="N1241" s="59"/>
      <c r="O1241" s="60"/>
    </row>
    <row r="1242" spans="14:15" x14ac:dyDescent="0.4">
      <c r="N1242" s="59"/>
      <c r="O1242" s="60"/>
    </row>
    <row r="1243" spans="14:15" x14ac:dyDescent="0.4">
      <c r="N1243" s="59"/>
      <c r="O1243" s="60"/>
    </row>
    <row r="1244" spans="14:15" x14ac:dyDescent="0.4">
      <c r="N1244" s="59"/>
      <c r="O1244" s="60"/>
    </row>
    <row r="1245" spans="14:15" x14ac:dyDescent="0.4">
      <c r="N1245" s="59"/>
      <c r="O1245" s="60"/>
    </row>
    <row r="1246" spans="14:15" x14ac:dyDescent="0.4">
      <c r="N1246" s="59"/>
      <c r="O1246" s="60"/>
    </row>
    <row r="1247" spans="14:15" x14ac:dyDescent="0.4">
      <c r="N1247" s="59"/>
      <c r="O1247" s="60"/>
    </row>
    <row r="1248" spans="14:15" x14ac:dyDescent="0.4">
      <c r="N1248" s="59"/>
      <c r="O1248" s="60"/>
    </row>
    <row r="1249" spans="14:15" x14ac:dyDescent="0.4">
      <c r="N1249" s="59"/>
      <c r="O1249" s="60"/>
    </row>
    <row r="1250" spans="14:15" x14ac:dyDescent="0.4">
      <c r="N1250" s="59"/>
      <c r="O1250" s="60"/>
    </row>
    <row r="1251" spans="14:15" x14ac:dyDescent="0.4">
      <c r="N1251" s="59"/>
      <c r="O1251" s="60"/>
    </row>
    <row r="1252" spans="14:15" x14ac:dyDescent="0.4">
      <c r="N1252" s="59"/>
      <c r="O1252" s="60"/>
    </row>
    <row r="1253" spans="14:15" x14ac:dyDescent="0.4">
      <c r="N1253" s="59"/>
      <c r="O1253" s="60"/>
    </row>
    <row r="1254" spans="14:15" x14ac:dyDescent="0.4">
      <c r="N1254" s="59"/>
      <c r="O1254" s="60"/>
    </row>
    <row r="1255" spans="14:15" x14ac:dyDescent="0.4">
      <c r="N1255" s="59"/>
      <c r="O1255" s="60"/>
    </row>
    <row r="1256" spans="14:15" x14ac:dyDescent="0.4">
      <c r="N1256" s="59"/>
      <c r="O1256" s="60"/>
    </row>
    <row r="1257" spans="14:15" x14ac:dyDescent="0.4">
      <c r="N1257" s="59"/>
      <c r="O1257" s="60"/>
    </row>
    <row r="1258" spans="14:15" x14ac:dyDescent="0.4">
      <c r="N1258" s="59"/>
      <c r="O1258" s="60"/>
    </row>
    <row r="1259" spans="14:15" x14ac:dyDescent="0.4">
      <c r="N1259" s="59"/>
      <c r="O1259" s="60"/>
    </row>
    <row r="1260" spans="14:15" x14ac:dyDescent="0.4">
      <c r="N1260" s="59"/>
      <c r="O1260" s="60"/>
    </row>
    <row r="1261" spans="14:15" x14ac:dyDescent="0.4">
      <c r="N1261" s="59"/>
      <c r="O1261" s="60"/>
    </row>
    <row r="1262" spans="14:15" x14ac:dyDescent="0.4">
      <c r="N1262" s="59"/>
      <c r="O1262" s="60"/>
    </row>
    <row r="1263" spans="14:15" x14ac:dyDescent="0.4">
      <c r="N1263" s="59"/>
      <c r="O1263" s="60"/>
    </row>
    <row r="1264" spans="14:15" x14ac:dyDescent="0.4">
      <c r="N1264" s="59"/>
      <c r="O1264" s="60"/>
    </row>
    <row r="1265" spans="14:15" x14ac:dyDescent="0.4">
      <c r="N1265" s="59"/>
      <c r="O1265" s="60"/>
    </row>
    <row r="1266" spans="14:15" x14ac:dyDescent="0.4">
      <c r="N1266" s="59"/>
      <c r="O1266" s="60"/>
    </row>
    <row r="1267" spans="14:15" x14ac:dyDescent="0.4">
      <c r="N1267" s="59"/>
      <c r="O1267" s="60"/>
    </row>
    <row r="1268" spans="14:15" x14ac:dyDescent="0.4">
      <c r="N1268" s="59"/>
      <c r="O1268" s="60"/>
    </row>
    <row r="1269" spans="14:15" x14ac:dyDescent="0.4">
      <c r="N1269" s="59"/>
      <c r="O1269" s="60"/>
    </row>
    <row r="1270" spans="14:15" x14ac:dyDescent="0.4">
      <c r="N1270" s="59"/>
      <c r="O1270" s="60"/>
    </row>
    <row r="1271" spans="14:15" x14ac:dyDescent="0.4">
      <c r="N1271" s="59"/>
      <c r="O1271" s="60"/>
    </row>
    <row r="1272" spans="14:15" x14ac:dyDescent="0.4">
      <c r="N1272" s="59"/>
      <c r="O1272" s="60"/>
    </row>
    <row r="1273" spans="14:15" x14ac:dyDescent="0.4">
      <c r="N1273" s="59"/>
      <c r="O1273" s="60"/>
    </row>
    <row r="1274" spans="14:15" x14ac:dyDescent="0.4">
      <c r="N1274" s="59"/>
      <c r="O1274" s="60"/>
    </row>
    <row r="1275" spans="14:15" x14ac:dyDescent="0.4">
      <c r="N1275" s="59"/>
      <c r="O1275" s="60"/>
    </row>
    <row r="1276" spans="14:15" x14ac:dyDescent="0.4">
      <c r="N1276" s="59"/>
      <c r="O1276" s="60"/>
    </row>
    <row r="1277" spans="14:15" x14ac:dyDescent="0.4">
      <c r="N1277" s="59"/>
      <c r="O1277" s="60"/>
    </row>
    <row r="1278" spans="14:15" x14ac:dyDescent="0.4">
      <c r="N1278" s="59"/>
      <c r="O1278" s="60"/>
    </row>
    <row r="1279" spans="14:15" x14ac:dyDescent="0.4">
      <c r="N1279" s="59"/>
      <c r="O1279" s="60"/>
    </row>
    <row r="1280" spans="14:15" x14ac:dyDescent="0.4">
      <c r="N1280" s="59"/>
      <c r="O1280" s="60"/>
    </row>
    <row r="1281" spans="14:15" x14ac:dyDescent="0.4">
      <c r="N1281" s="59"/>
      <c r="O1281" s="60"/>
    </row>
    <row r="1282" spans="14:15" x14ac:dyDescent="0.4">
      <c r="N1282" s="59"/>
      <c r="O1282" s="60"/>
    </row>
    <row r="1283" spans="14:15" x14ac:dyDescent="0.4">
      <c r="N1283" s="59"/>
      <c r="O1283" s="60"/>
    </row>
    <row r="1284" spans="14:15" x14ac:dyDescent="0.4">
      <c r="N1284" s="59"/>
      <c r="O1284" s="60"/>
    </row>
    <row r="1285" spans="14:15" x14ac:dyDescent="0.4">
      <c r="N1285" s="59"/>
      <c r="O1285" s="60"/>
    </row>
    <row r="1286" spans="14:15" x14ac:dyDescent="0.4">
      <c r="N1286" s="59"/>
      <c r="O1286" s="60"/>
    </row>
    <row r="1287" spans="14:15" x14ac:dyDescent="0.4">
      <c r="N1287" s="59"/>
      <c r="O1287" s="60"/>
    </row>
    <row r="1288" spans="14:15" x14ac:dyDescent="0.4">
      <c r="N1288" s="59"/>
      <c r="O1288" s="60"/>
    </row>
    <row r="1289" spans="14:15" x14ac:dyDescent="0.4">
      <c r="N1289" s="59"/>
      <c r="O1289" s="60"/>
    </row>
    <row r="1290" spans="14:15" x14ac:dyDescent="0.4">
      <c r="N1290" s="59"/>
      <c r="O1290" s="60"/>
    </row>
    <row r="1291" spans="14:15" x14ac:dyDescent="0.4">
      <c r="N1291" s="59"/>
      <c r="O1291" s="60"/>
    </row>
    <row r="1292" spans="14:15" x14ac:dyDescent="0.4">
      <c r="N1292" s="59"/>
      <c r="O1292" s="60"/>
    </row>
    <row r="1293" spans="14:15" x14ac:dyDescent="0.4">
      <c r="N1293" s="59"/>
      <c r="O1293" s="60"/>
    </row>
    <row r="1294" spans="14:15" x14ac:dyDescent="0.4">
      <c r="N1294" s="59"/>
      <c r="O1294" s="60"/>
    </row>
    <row r="1295" spans="14:15" x14ac:dyDescent="0.4">
      <c r="N1295" s="59"/>
      <c r="O1295" s="60"/>
    </row>
    <row r="1296" spans="14:15" x14ac:dyDescent="0.4">
      <c r="N1296" s="59"/>
      <c r="O1296" s="60"/>
    </row>
    <row r="1297" spans="14:15" x14ac:dyDescent="0.4">
      <c r="N1297" s="59"/>
      <c r="O1297" s="60"/>
    </row>
    <row r="1298" spans="14:15" x14ac:dyDescent="0.4">
      <c r="N1298" s="59"/>
      <c r="O1298" s="60"/>
    </row>
    <row r="1299" spans="14:15" x14ac:dyDescent="0.4">
      <c r="N1299" s="59"/>
      <c r="O1299" s="60"/>
    </row>
    <row r="1300" spans="14:15" x14ac:dyDescent="0.4">
      <c r="N1300" s="59"/>
      <c r="O1300" s="60"/>
    </row>
    <row r="1301" spans="14:15" x14ac:dyDescent="0.4">
      <c r="N1301" s="59"/>
      <c r="O1301" s="60"/>
    </row>
    <row r="1302" spans="14:15" x14ac:dyDescent="0.4">
      <c r="N1302" s="59"/>
      <c r="O1302" s="60"/>
    </row>
    <row r="1303" spans="14:15" x14ac:dyDescent="0.4">
      <c r="N1303" s="59"/>
      <c r="O1303" s="60"/>
    </row>
    <row r="1304" spans="14:15" x14ac:dyDescent="0.4">
      <c r="N1304" s="59"/>
      <c r="O1304" s="60"/>
    </row>
    <row r="1305" spans="14:15" x14ac:dyDescent="0.4">
      <c r="N1305" s="59"/>
      <c r="O1305" s="60"/>
    </row>
    <row r="1306" spans="14:15" x14ac:dyDescent="0.4">
      <c r="N1306" s="59"/>
      <c r="O1306" s="60"/>
    </row>
    <row r="1307" spans="14:15" x14ac:dyDescent="0.4">
      <c r="N1307" s="59"/>
      <c r="O1307" s="60"/>
    </row>
    <row r="1308" spans="14:15" x14ac:dyDescent="0.4">
      <c r="N1308" s="59"/>
      <c r="O1308" s="60"/>
    </row>
    <row r="1309" spans="14:15" x14ac:dyDescent="0.4">
      <c r="N1309" s="59"/>
      <c r="O1309" s="60"/>
    </row>
    <row r="1310" spans="14:15" x14ac:dyDescent="0.4">
      <c r="N1310" s="59"/>
      <c r="O1310" s="60"/>
    </row>
    <row r="1311" spans="14:15" x14ac:dyDescent="0.4">
      <c r="N1311" s="59"/>
      <c r="O1311" s="60"/>
    </row>
    <row r="1312" spans="14:15" x14ac:dyDescent="0.4">
      <c r="N1312" s="59"/>
      <c r="O1312" s="60"/>
    </row>
    <row r="1313" spans="14:15" x14ac:dyDescent="0.4">
      <c r="N1313" s="59"/>
      <c r="O1313" s="60"/>
    </row>
    <row r="1314" spans="14:15" x14ac:dyDescent="0.4">
      <c r="N1314" s="59"/>
      <c r="O1314" s="60"/>
    </row>
    <row r="1315" spans="14:15" x14ac:dyDescent="0.4">
      <c r="N1315" s="59"/>
      <c r="O1315" s="60"/>
    </row>
    <row r="1316" spans="14:15" x14ac:dyDescent="0.4">
      <c r="N1316" s="59"/>
      <c r="O1316" s="60"/>
    </row>
    <row r="1317" spans="14:15" x14ac:dyDescent="0.4">
      <c r="N1317" s="59"/>
      <c r="O1317" s="60"/>
    </row>
    <row r="1318" spans="14:15" x14ac:dyDescent="0.4">
      <c r="N1318" s="59"/>
      <c r="O1318" s="60"/>
    </row>
    <row r="1319" spans="14:15" x14ac:dyDescent="0.4">
      <c r="N1319" s="59"/>
      <c r="O1319" s="60"/>
    </row>
    <row r="1320" spans="14:15" x14ac:dyDescent="0.4">
      <c r="N1320" s="59"/>
      <c r="O1320" s="60"/>
    </row>
    <row r="1321" spans="14:15" x14ac:dyDescent="0.4">
      <c r="N1321" s="59"/>
      <c r="O1321" s="60"/>
    </row>
    <row r="1322" spans="14:15" x14ac:dyDescent="0.4">
      <c r="N1322" s="59"/>
      <c r="O1322" s="60"/>
    </row>
    <row r="1323" spans="14:15" x14ac:dyDescent="0.4">
      <c r="N1323" s="59"/>
      <c r="O1323" s="60"/>
    </row>
    <row r="1324" spans="14:15" x14ac:dyDescent="0.4">
      <c r="N1324" s="59"/>
      <c r="O1324" s="60"/>
    </row>
    <row r="1325" spans="14:15" x14ac:dyDescent="0.4">
      <c r="N1325" s="59"/>
      <c r="O1325" s="60"/>
    </row>
    <row r="1326" spans="14:15" x14ac:dyDescent="0.4">
      <c r="N1326" s="59"/>
      <c r="O1326" s="60"/>
    </row>
    <row r="1327" spans="14:15" x14ac:dyDescent="0.4">
      <c r="N1327" s="59"/>
      <c r="O1327" s="60"/>
    </row>
    <row r="1328" spans="14:15" x14ac:dyDescent="0.4">
      <c r="N1328" s="59"/>
      <c r="O1328" s="60"/>
    </row>
    <row r="1329" spans="14:15" x14ac:dyDescent="0.4">
      <c r="N1329" s="59"/>
      <c r="O1329" s="60"/>
    </row>
    <row r="1330" spans="14:15" x14ac:dyDescent="0.4">
      <c r="N1330" s="59"/>
      <c r="O1330" s="60"/>
    </row>
    <row r="1331" spans="14:15" x14ac:dyDescent="0.4">
      <c r="N1331" s="59"/>
      <c r="O1331" s="60"/>
    </row>
    <row r="1332" spans="14:15" x14ac:dyDescent="0.4">
      <c r="N1332" s="59"/>
      <c r="O1332" s="60"/>
    </row>
    <row r="1333" spans="14:15" x14ac:dyDescent="0.4">
      <c r="N1333" s="59"/>
      <c r="O1333" s="60"/>
    </row>
    <row r="1334" spans="14:15" x14ac:dyDescent="0.4">
      <c r="N1334" s="59"/>
      <c r="O1334" s="60"/>
    </row>
    <row r="1335" spans="14:15" x14ac:dyDescent="0.4">
      <c r="N1335" s="59"/>
      <c r="O1335" s="60"/>
    </row>
    <row r="1336" spans="14:15" x14ac:dyDescent="0.4">
      <c r="N1336" s="59"/>
      <c r="O1336" s="60"/>
    </row>
    <row r="1337" spans="14:15" x14ac:dyDescent="0.4">
      <c r="N1337" s="59"/>
      <c r="O1337" s="60"/>
    </row>
    <row r="1338" spans="14:15" x14ac:dyDescent="0.4">
      <c r="N1338" s="59"/>
      <c r="O1338" s="60"/>
    </row>
    <row r="1339" spans="14:15" x14ac:dyDescent="0.4">
      <c r="N1339" s="59"/>
      <c r="O1339" s="60"/>
    </row>
    <row r="1340" spans="14:15" x14ac:dyDescent="0.4">
      <c r="N1340" s="59"/>
      <c r="O1340" s="60"/>
    </row>
    <row r="1341" spans="14:15" x14ac:dyDescent="0.4">
      <c r="N1341" s="59"/>
      <c r="O1341" s="60"/>
    </row>
    <row r="1342" spans="14:15" x14ac:dyDescent="0.4">
      <c r="N1342" s="59"/>
      <c r="O1342" s="60"/>
    </row>
    <row r="1343" spans="14:15" x14ac:dyDescent="0.4">
      <c r="N1343" s="59"/>
      <c r="O1343" s="60"/>
    </row>
    <row r="1344" spans="14:15" x14ac:dyDescent="0.4">
      <c r="N1344" s="59"/>
      <c r="O1344" s="60"/>
    </row>
    <row r="1345" spans="14:15" x14ac:dyDescent="0.4">
      <c r="N1345" s="59"/>
      <c r="O1345" s="60"/>
    </row>
    <row r="1346" spans="14:15" x14ac:dyDescent="0.4">
      <c r="N1346" s="59"/>
      <c r="O1346" s="60"/>
    </row>
    <row r="1347" spans="14:15" x14ac:dyDescent="0.4">
      <c r="N1347" s="59"/>
      <c r="O1347" s="60"/>
    </row>
    <row r="1348" spans="14:15" x14ac:dyDescent="0.4">
      <c r="N1348" s="59"/>
      <c r="O1348" s="60"/>
    </row>
    <row r="1349" spans="14:15" x14ac:dyDescent="0.4">
      <c r="N1349" s="59"/>
      <c r="O1349" s="60"/>
    </row>
    <row r="1350" spans="14:15" x14ac:dyDescent="0.4">
      <c r="N1350" s="59"/>
      <c r="O1350" s="60"/>
    </row>
    <row r="1351" spans="14:15" x14ac:dyDescent="0.4">
      <c r="N1351" s="59"/>
      <c r="O1351" s="60"/>
    </row>
    <row r="1352" spans="14:15" x14ac:dyDescent="0.4">
      <c r="N1352" s="59"/>
      <c r="O1352" s="60"/>
    </row>
    <row r="1353" spans="14:15" x14ac:dyDescent="0.4">
      <c r="N1353" s="59"/>
      <c r="O1353" s="60"/>
    </row>
    <row r="1354" spans="14:15" x14ac:dyDescent="0.4">
      <c r="N1354" s="59"/>
      <c r="O1354" s="60"/>
    </row>
    <row r="1355" spans="14:15" x14ac:dyDescent="0.4">
      <c r="N1355" s="59"/>
      <c r="O1355" s="60"/>
    </row>
    <row r="1356" spans="14:15" x14ac:dyDescent="0.4">
      <c r="N1356" s="59"/>
      <c r="O1356" s="60"/>
    </row>
    <row r="1357" spans="14:15" x14ac:dyDescent="0.4">
      <c r="N1357" s="59"/>
      <c r="O1357" s="60"/>
    </row>
    <row r="1358" spans="14:15" x14ac:dyDescent="0.4">
      <c r="N1358" s="59"/>
      <c r="O1358" s="60"/>
    </row>
    <row r="1359" spans="14:15" x14ac:dyDescent="0.4">
      <c r="N1359" s="59"/>
      <c r="O1359" s="60"/>
    </row>
    <row r="1360" spans="14:15" x14ac:dyDescent="0.4">
      <c r="N1360" s="59"/>
      <c r="O1360" s="60"/>
    </row>
    <row r="1361" spans="14:15" x14ac:dyDescent="0.4">
      <c r="N1361" s="59"/>
      <c r="O1361" s="60"/>
    </row>
    <row r="1362" spans="14:15" x14ac:dyDescent="0.4">
      <c r="N1362" s="59"/>
      <c r="O1362" s="60"/>
    </row>
    <row r="1363" spans="14:15" x14ac:dyDescent="0.4">
      <c r="N1363" s="59"/>
      <c r="O1363" s="60"/>
    </row>
    <row r="1364" spans="14:15" x14ac:dyDescent="0.4">
      <c r="N1364" s="59"/>
      <c r="O1364" s="60"/>
    </row>
    <row r="1365" spans="14:15" x14ac:dyDescent="0.4">
      <c r="N1365" s="59"/>
      <c r="O1365" s="60"/>
    </row>
    <row r="1366" spans="14:15" x14ac:dyDescent="0.4">
      <c r="N1366" s="59"/>
      <c r="O1366" s="60"/>
    </row>
    <row r="1367" spans="14:15" x14ac:dyDescent="0.4">
      <c r="N1367" s="59"/>
      <c r="O1367" s="60"/>
    </row>
    <row r="1368" spans="14:15" x14ac:dyDescent="0.4">
      <c r="N1368" s="59"/>
      <c r="O1368" s="60"/>
    </row>
    <row r="1369" spans="14:15" x14ac:dyDescent="0.4">
      <c r="N1369" s="59"/>
      <c r="O1369" s="60"/>
    </row>
    <row r="1370" spans="14:15" x14ac:dyDescent="0.4">
      <c r="N1370" s="59"/>
      <c r="O1370" s="60"/>
    </row>
    <row r="1371" spans="14:15" x14ac:dyDescent="0.4">
      <c r="N1371" s="59"/>
      <c r="O1371" s="60"/>
    </row>
    <row r="1372" spans="14:15" x14ac:dyDescent="0.4">
      <c r="N1372" s="59"/>
      <c r="O1372" s="60"/>
    </row>
    <row r="1373" spans="14:15" x14ac:dyDescent="0.4">
      <c r="N1373" s="59"/>
      <c r="O1373" s="60"/>
    </row>
    <row r="1374" spans="14:15" x14ac:dyDescent="0.4">
      <c r="N1374" s="59"/>
      <c r="O1374" s="60"/>
    </row>
    <row r="1375" spans="14:15" x14ac:dyDescent="0.4">
      <c r="N1375" s="59"/>
      <c r="O1375" s="60"/>
    </row>
    <row r="1376" spans="14:15" x14ac:dyDescent="0.4">
      <c r="N1376" s="59"/>
      <c r="O1376" s="60"/>
    </row>
    <row r="1377" spans="14:15" x14ac:dyDescent="0.4">
      <c r="N1377" s="59"/>
      <c r="O1377" s="60"/>
    </row>
    <row r="1378" spans="14:15" x14ac:dyDescent="0.4">
      <c r="N1378" s="59"/>
      <c r="O1378" s="60"/>
    </row>
    <row r="1379" spans="14:15" x14ac:dyDescent="0.4">
      <c r="N1379" s="59"/>
      <c r="O1379" s="60"/>
    </row>
    <row r="1380" spans="14:15" x14ac:dyDescent="0.4">
      <c r="N1380" s="59"/>
      <c r="O1380" s="60"/>
    </row>
    <row r="1381" spans="14:15" x14ac:dyDescent="0.4">
      <c r="N1381" s="59"/>
      <c r="O1381" s="60"/>
    </row>
    <row r="1382" spans="14:15" x14ac:dyDescent="0.4">
      <c r="N1382" s="59"/>
      <c r="O1382" s="60"/>
    </row>
    <row r="1383" spans="14:15" x14ac:dyDescent="0.4">
      <c r="N1383" s="59"/>
      <c r="O1383" s="60"/>
    </row>
    <row r="1384" spans="14:15" x14ac:dyDescent="0.4">
      <c r="N1384" s="59"/>
      <c r="O1384" s="60"/>
    </row>
    <row r="1385" spans="14:15" x14ac:dyDescent="0.4">
      <c r="N1385" s="59"/>
      <c r="O1385" s="60"/>
    </row>
    <row r="1386" spans="14:15" x14ac:dyDescent="0.4">
      <c r="N1386" s="59"/>
      <c r="O1386" s="60"/>
    </row>
    <row r="1387" spans="14:15" x14ac:dyDescent="0.4">
      <c r="N1387" s="59"/>
      <c r="O1387" s="60"/>
    </row>
    <row r="1388" spans="14:15" x14ac:dyDescent="0.4">
      <c r="N1388" s="59"/>
      <c r="O1388" s="60"/>
    </row>
    <row r="1389" spans="14:15" x14ac:dyDescent="0.4">
      <c r="N1389" s="59"/>
      <c r="O1389" s="60"/>
    </row>
    <row r="1390" spans="14:15" x14ac:dyDescent="0.4">
      <c r="N1390" s="59"/>
      <c r="O1390" s="60"/>
    </row>
    <row r="1391" spans="14:15" x14ac:dyDescent="0.4">
      <c r="N1391" s="59"/>
      <c r="O1391" s="60"/>
    </row>
    <row r="1392" spans="14:15" x14ac:dyDescent="0.4">
      <c r="N1392" s="59"/>
      <c r="O1392" s="60"/>
    </row>
    <row r="1393" spans="14:15" x14ac:dyDescent="0.4">
      <c r="N1393" s="59"/>
      <c r="O1393" s="60"/>
    </row>
    <row r="1394" spans="14:15" x14ac:dyDescent="0.4">
      <c r="N1394" s="59"/>
      <c r="O1394" s="60"/>
    </row>
    <row r="1395" spans="14:15" x14ac:dyDescent="0.4">
      <c r="N1395" s="59"/>
      <c r="O1395" s="60"/>
    </row>
    <row r="1396" spans="14:15" x14ac:dyDescent="0.4">
      <c r="N1396" s="59"/>
      <c r="O1396" s="60"/>
    </row>
    <row r="1397" spans="14:15" x14ac:dyDescent="0.4">
      <c r="N1397" s="59"/>
      <c r="O1397" s="60"/>
    </row>
    <row r="1398" spans="14:15" x14ac:dyDescent="0.4">
      <c r="N1398" s="59"/>
      <c r="O1398" s="60"/>
    </row>
    <row r="1399" spans="14:15" x14ac:dyDescent="0.4">
      <c r="N1399" s="59"/>
      <c r="O1399" s="60"/>
    </row>
    <row r="1400" spans="14:15" x14ac:dyDescent="0.4">
      <c r="N1400" s="59"/>
      <c r="O1400" s="60"/>
    </row>
    <row r="1401" spans="14:15" x14ac:dyDescent="0.4">
      <c r="N1401" s="59"/>
      <c r="O1401" s="60"/>
    </row>
    <row r="1402" spans="14:15" x14ac:dyDescent="0.4">
      <c r="N1402" s="59"/>
      <c r="O1402" s="60"/>
    </row>
    <row r="1403" spans="14:15" x14ac:dyDescent="0.4">
      <c r="N1403" s="59"/>
      <c r="O1403" s="60"/>
    </row>
    <row r="1404" spans="14:15" x14ac:dyDescent="0.4">
      <c r="N1404" s="59"/>
      <c r="O1404" s="60"/>
    </row>
    <row r="1405" spans="14:15" x14ac:dyDescent="0.4">
      <c r="N1405" s="59"/>
      <c r="O1405" s="60"/>
    </row>
    <row r="1406" spans="14:15" x14ac:dyDescent="0.4">
      <c r="N1406" s="59"/>
      <c r="O1406" s="60"/>
    </row>
    <row r="1407" spans="14:15" x14ac:dyDescent="0.4">
      <c r="N1407" s="59"/>
      <c r="O1407" s="60"/>
    </row>
    <row r="1408" spans="14:15" x14ac:dyDescent="0.4">
      <c r="N1408" s="59"/>
      <c r="O1408" s="60"/>
    </row>
    <row r="1409" spans="14:15" x14ac:dyDescent="0.4">
      <c r="N1409" s="59"/>
      <c r="O1409" s="60"/>
    </row>
    <row r="1410" spans="14:15" x14ac:dyDescent="0.4">
      <c r="N1410" s="59"/>
      <c r="O1410" s="60"/>
    </row>
    <row r="1411" spans="14:15" x14ac:dyDescent="0.4">
      <c r="N1411" s="59"/>
      <c r="O1411" s="60"/>
    </row>
    <row r="1412" spans="14:15" x14ac:dyDescent="0.4">
      <c r="N1412" s="59"/>
      <c r="O1412" s="60"/>
    </row>
    <row r="1413" spans="14:15" x14ac:dyDescent="0.4">
      <c r="N1413" s="59"/>
      <c r="O1413" s="60"/>
    </row>
    <row r="1414" spans="14:15" x14ac:dyDescent="0.4">
      <c r="N1414" s="59"/>
      <c r="O1414" s="60"/>
    </row>
    <row r="1415" spans="14:15" x14ac:dyDescent="0.4">
      <c r="N1415" s="59"/>
      <c r="O1415" s="60"/>
    </row>
    <row r="1416" spans="14:15" x14ac:dyDescent="0.4">
      <c r="N1416" s="59"/>
      <c r="O1416" s="60"/>
    </row>
    <row r="1417" spans="14:15" x14ac:dyDescent="0.4">
      <c r="N1417" s="59"/>
      <c r="O1417" s="60"/>
    </row>
    <row r="1418" spans="14:15" x14ac:dyDescent="0.4">
      <c r="N1418" s="59"/>
      <c r="O1418" s="60"/>
    </row>
    <row r="1419" spans="14:15" x14ac:dyDescent="0.4">
      <c r="N1419" s="59"/>
      <c r="O1419" s="60"/>
    </row>
    <row r="1420" spans="14:15" x14ac:dyDescent="0.4">
      <c r="N1420" s="59"/>
      <c r="O1420" s="60"/>
    </row>
    <row r="1421" spans="14:15" x14ac:dyDescent="0.4">
      <c r="N1421" s="59"/>
      <c r="O1421" s="60"/>
    </row>
    <row r="1422" spans="14:15" x14ac:dyDescent="0.4">
      <c r="N1422" s="59"/>
      <c r="O1422" s="60"/>
    </row>
    <row r="1423" spans="14:15" x14ac:dyDescent="0.4">
      <c r="N1423" s="59"/>
      <c r="O1423" s="60"/>
    </row>
    <row r="1424" spans="14:15" x14ac:dyDescent="0.4">
      <c r="N1424" s="59"/>
      <c r="O1424" s="60"/>
    </row>
    <row r="1425" spans="14:15" x14ac:dyDescent="0.4">
      <c r="N1425" s="59"/>
      <c r="O1425" s="60"/>
    </row>
    <row r="1426" spans="14:15" x14ac:dyDescent="0.4">
      <c r="N1426" s="59"/>
      <c r="O1426" s="60"/>
    </row>
    <row r="1427" spans="14:15" x14ac:dyDescent="0.4">
      <c r="N1427" s="59"/>
      <c r="O1427" s="60"/>
    </row>
    <row r="1428" spans="14:15" x14ac:dyDescent="0.4">
      <c r="N1428" s="59"/>
      <c r="O1428" s="60"/>
    </row>
    <row r="1429" spans="14:15" x14ac:dyDescent="0.4">
      <c r="N1429" s="59"/>
      <c r="O1429" s="60"/>
    </row>
    <row r="1430" spans="14:15" x14ac:dyDescent="0.4">
      <c r="N1430" s="59"/>
      <c r="O1430" s="60"/>
    </row>
    <row r="1431" spans="14:15" x14ac:dyDescent="0.4">
      <c r="N1431" s="59"/>
      <c r="O1431" s="60"/>
    </row>
    <row r="1432" spans="14:15" x14ac:dyDescent="0.4">
      <c r="N1432" s="59"/>
      <c r="O1432" s="60"/>
    </row>
    <row r="1433" spans="14:15" x14ac:dyDescent="0.4">
      <c r="N1433" s="59"/>
      <c r="O1433" s="60"/>
    </row>
    <row r="1434" spans="14:15" x14ac:dyDescent="0.4">
      <c r="N1434" s="59"/>
      <c r="O1434" s="60"/>
    </row>
    <row r="1435" spans="14:15" x14ac:dyDescent="0.4">
      <c r="N1435" s="59"/>
      <c r="O1435" s="60"/>
    </row>
    <row r="1436" spans="14:15" x14ac:dyDescent="0.4">
      <c r="N1436" s="59"/>
      <c r="O1436" s="60"/>
    </row>
    <row r="1437" spans="14:15" x14ac:dyDescent="0.4">
      <c r="N1437" s="59"/>
      <c r="O1437" s="60"/>
    </row>
    <row r="1438" spans="14:15" x14ac:dyDescent="0.4">
      <c r="N1438" s="59"/>
      <c r="O1438" s="60"/>
    </row>
    <row r="1439" spans="14:15" x14ac:dyDescent="0.4">
      <c r="N1439" s="59"/>
      <c r="O1439" s="60"/>
    </row>
    <row r="1440" spans="14:15" x14ac:dyDescent="0.4">
      <c r="N1440" s="59"/>
      <c r="O1440" s="60"/>
    </row>
    <row r="1441" spans="14:15" x14ac:dyDescent="0.4">
      <c r="N1441" s="59"/>
      <c r="O1441" s="60"/>
    </row>
    <row r="1442" spans="14:15" x14ac:dyDescent="0.4">
      <c r="N1442" s="59"/>
      <c r="O1442" s="60"/>
    </row>
    <row r="1443" spans="14:15" x14ac:dyDescent="0.4">
      <c r="N1443" s="59"/>
      <c r="O1443" s="60"/>
    </row>
    <row r="1444" spans="14:15" x14ac:dyDescent="0.4">
      <c r="N1444" s="59"/>
      <c r="O1444" s="60"/>
    </row>
    <row r="1445" spans="14:15" x14ac:dyDescent="0.4">
      <c r="N1445" s="59"/>
      <c r="O1445" s="60"/>
    </row>
    <row r="1446" spans="14:15" x14ac:dyDescent="0.4">
      <c r="N1446" s="59"/>
      <c r="O1446" s="60"/>
    </row>
    <row r="1447" spans="14:15" x14ac:dyDescent="0.4">
      <c r="N1447" s="59"/>
      <c r="O1447" s="60"/>
    </row>
    <row r="1448" spans="14:15" x14ac:dyDescent="0.4">
      <c r="N1448" s="59"/>
      <c r="O1448" s="60"/>
    </row>
    <row r="1449" spans="14:15" x14ac:dyDescent="0.4">
      <c r="N1449" s="59"/>
      <c r="O1449" s="60"/>
    </row>
    <row r="1450" spans="14:15" x14ac:dyDescent="0.4">
      <c r="N1450" s="59"/>
      <c r="O1450" s="60"/>
    </row>
    <row r="1451" spans="14:15" x14ac:dyDescent="0.4">
      <c r="N1451" s="59"/>
      <c r="O1451" s="60"/>
    </row>
    <row r="1452" spans="14:15" x14ac:dyDescent="0.4">
      <c r="N1452" s="59"/>
      <c r="O1452" s="60"/>
    </row>
    <row r="1453" spans="14:15" x14ac:dyDescent="0.4">
      <c r="N1453" s="59"/>
      <c r="O1453" s="60"/>
    </row>
    <row r="1454" spans="14:15" x14ac:dyDescent="0.4">
      <c r="N1454" s="59"/>
      <c r="O1454" s="60"/>
    </row>
    <row r="1455" spans="14:15" x14ac:dyDescent="0.4">
      <c r="N1455" s="59"/>
      <c r="O1455" s="60"/>
    </row>
    <row r="1456" spans="14:15" x14ac:dyDescent="0.4">
      <c r="N1456" s="59"/>
      <c r="O1456" s="60"/>
    </row>
    <row r="1457" spans="14:15" x14ac:dyDescent="0.4">
      <c r="N1457" s="59"/>
      <c r="O1457" s="60"/>
    </row>
    <row r="1458" spans="14:15" x14ac:dyDescent="0.4">
      <c r="N1458" s="59"/>
      <c r="O1458" s="60"/>
    </row>
    <row r="1459" spans="14:15" x14ac:dyDescent="0.4">
      <c r="N1459" s="59"/>
      <c r="O1459" s="60"/>
    </row>
    <row r="1460" spans="14:15" x14ac:dyDescent="0.4">
      <c r="N1460" s="59"/>
      <c r="O1460" s="60"/>
    </row>
    <row r="1461" spans="14:15" x14ac:dyDescent="0.4">
      <c r="N1461" s="59"/>
      <c r="O1461" s="60"/>
    </row>
    <row r="1462" spans="14:15" x14ac:dyDescent="0.4">
      <c r="N1462" s="59"/>
      <c r="O1462" s="60"/>
    </row>
    <row r="1463" spans="14:15" x14ac:dyDescent="0.4">
      <c r="N1463" s="59"/>
      <c r="O1463" s="60"/>
    </row>
    <row r="1464" spans="14:15" x14ac:dyDescent="0.4">
      <c r="N1464" s="59"/>
      <c r="O1464" s="60"/>
    </row>
    <row r="1465" spans="14:15" x14ac:dyDescent="0.4">
      <c r="N1465" s="59"/>
      <c r="O1465" s="60"/>
    </row>
    <row r="1466" spans="14:15" x14ac:dyDescent="0.4">
      <c r="N1466" s="59"/>
      <c r="O1466" s="60"/>
    </row>
    <row r="1467" spans="14:15" x14ac:dyDescent="0.4">
      <c r="N1467" s="59"/>
      <c r="O1467" s="60"/>
    </row>
    <row r="1468" spans="14:15" x14ac:dyDescent="0.4">
      <c r="N1468" s="59"/>
      <c r="O1468" s="60"/>
    </row>
    <row r="1469" spans="14:15" x14ac:dyDescent="0.4">
      <c r="N1469" s="59"/>
      <c r="O1469" s="60"/>
    </row>
    <row r="1470" spans="14:15" x14ac:dyDescent="0.4">
      <c r="N1470" s="59"/>
      <c r="O1470" s="60"/>
    </row>
    <row r="1471" spans="14:15" x14ac:dyDescent="0.4">
      <c r="N1471" s="59"/>
      <c r="O1471" s="60"/>
    </row>
    <row r="1472" spans="14:15" x14ac:dyDescent="0.4">
      <c r="N1472" s="59"/>
      <c r="O1472" s="60"/>
    </row>
    <row r="1473" spans="14:15" x14ac:dyDescent="0.4">
      <c r="N1473" s="59"/>
      <c r="O1473" s="60"/>
    </row>
    <row r="1474" spans="14:15" x14ac:dyDescent="0.4">
      <c r="N1474" s="59"/>
      <c r="O1474" s="60"/>
    </row>
    <row r="1475" spans="14:15" x14ac:dyDescent="0.4">
      <c r="N1475" s="59"/>
      <c r="O1475" s="60"/>
    </row>
    <row r="1476" spans="14:15" x14ac:dyDescent="0.4">
      <c r="N1476" s="59"/>
      <c r="O1476" s="60"/>
    </row>
    <row r="1477" spans="14:15" x14ac:dyDescent="0.4">
      <c r="N1477" s="59"/>
      <c r="O1477" s="60"/>
    </row>
    <row r="1478" spans="14:15" x14ac:dyDescent="0.4">
      <c r="N1478" s="59"/>
      <c r="O1478" s="60"/>
    </row>
    <row r="1479" spans="14:15" x14ac:dyDescent="0.4">
      <c r="N1479" s="59"/>
      <c r="O1479" s="60"/>
    </row>
    <row r="1480" spans="14:15" x14ac:dyDescent="0.4">
      <c r="N1480" s="59"/>
      <c r="O1480" s="60"/>
    </row>
    <row r="1481" spans="14:15" x14ac:dyDescent="0.4">
      <c r="N1481" s="59"/>
      <c r="O1481" s="60"/>
    </row>
    <row r="1482" spans="14:15" x14ac:dyDescent="0.4">
      <c r="N1482" s="59"/>
      <c r="O1482" s="60"/>
    </row>
    <row r="1483" spans="14:15" x14ac:dyDescent="0.4">
      <c r="N1483" s="59"/>
      <c r="O1483" s="60"/>
    </row>
    <row r="1484" spans="14:15" x14ac:dyDescent="0.4">
      <c r="N1484" s="59"/>
      <c r="O1484" s="60"/>
    </row>
    <row r="1485" spans="14:15" x14ac:dyDescent="0.4">
      <c r="N1485" s="59"/>
      <c r="O1485" s="60"/>
    </row>
    <row r="1486" spans="14:15" x14ac:dyDescent="0.4">
      <c r="N1486" s="59"/>
      <c r="O1486" s="60"/>
    </row>
    <row r="1487" spans="14:15" x14ac:dyDescent="0.4">
      <c r="N1487" s="59"/>
      <c r="O1487" s="60"/>
    </row>
    <row r="1488" spans="14:15" x14ac:dyDescent="0.4">
      <c r="N1488" s="59"/>
      <c r="O1488" s="60"/>
    </row>
    <row r="1489" spans="14:15" x14ac:dyDescent="0.4">
      <c r="N1489" s="59"/>
      <c r="O1489" s="60"/>
    </row>
    <row r="1490" spans="14:15" x14ac:dyDescent="0.4">
      <c r="N1490" s="59"/>
      <c r="O1490" s="60"/>
    </row>
    <row r="1491" spans="14:15" x14ac:dyDescent="0.4">
      <c r="N1491" s="59"/>
      <c r="O1491" s="60"/>
    </row>
    <row r="1492" spans="14:15" x14ac:dyDescent="0.4">
      <c r="N1492" s="59"/>
      <c r="O1492" s="60"/>
    </row>
    <row r="1493" spans="14:15" x14ac:dyDescent="0.4">
      <c r="N1493" s="59"/>
      <c r="O1493" s="60"/>
    </row>
    <row r="1494" spans="14:15" x14ac:dyDescent="0.4">
      <c r="N1494" s="59"/>
      <c r="O1494" s="60"/>
    </row>
    <row r="1495" spans="14:15" x14ac:dyDescent="0.4">
      <c r="N1495" s="59"/>
      <c r="O1495" s="60"/>
    </row>
    <row r="1496" spans="14:15" x14ac:dyDescent="0.4">
      <c r="N1496" s="59"/>
      <c r="O1496" s="60"/>
    </row>
    <row r="1497" spans="14:15" x14ac:dyDescent="0.4">
      <c r="N1497" s="59"/>
      <c r="O1497" s="60"/>
    </row>
    <row r="1498" spans="14:15" x14ac:dyDescent="0.4">
      <c r="N1498" s="59"/>
      <c r="O1498" s="60"/>
    </row>
    <row r="1499" spans="14:15" x14ac:dyDescent="0.4">
      <c r="N1499" s="59"/>
      <c r="O1499" s="60"/>
    </row>
    <row r="1500" spans="14:15" x14ac:dyDescent="0.4">
      <c r="N1500" s="59"/>
      <c r="O1500" s="60"/>
    </row>
    <row r="1501" spans="14:15" x14ac:dyDescent="0.4">
      <c r="N1501" s="59"/>
      <c r="O1501" s="60"/>
    </row>
    <row r="1502" spans="14:15" x14ac:dyDescent="0.4">
      <c r="N1502" s="59"/>
      <c r="O1502" s="60"/>
    </row>
    <row r="1503" spans="14:15" x14ac:dyDescent="0.4">
      <c r="N1503" s="59"/>
      <c r="O1503" s="60"/>
    </row>
    <row r="1504" spans="14:15" x14ac:dyDescent="0.4">
      <c r="N1504" s="59"/>
      <c r="O1504" s="60"/>
    </row>
    <row r="1505" spans="14:15" x14ac:dyDescent="0.4">
      <c r="N1505" s="59"/>
      <c r="O1505" s="60"/>
    </row>
    <row r="1506" spans="14:15" x14ac:dyDescent="0.4">
      <c r="N1506" s="59"/>
      <c r="O1506" s="60"/>
    </row>
    <row r="1507" spans="14:15" x14ac:dyDescent="0.4">
      <c r="N1507" s="59"/>
      <c r="O1507" s="60"/>
    </row>
    <row r="1508" spans="14:15" x14ac:dyDescent="0.4">
      <c r="N1508" s="59"/>
      <c r="O1508" s="60"/>
    </row>
    <row r="1509" spans="14:15" x14ac:dyDescent="0.4">
      <c r="N1509" s="59"/>
      <c r="O1509" s="60"/>
    </row>
    <row r="1510" spans="14:15" x14ac:dyDescent="0.4">
      <c r="N1510" s="59"/>
      <c r="O1510" s="60"/>
    </row>
    <row r="1511" spans="14:15" x14ac:dyDescent="0.4">
      <c r="N1511" s="59"/>
      <c r="O1511" s="60"/>
    </row>
    <row r="1512" spans="14:15" x14ac:dyDescent="0.4">
      <c r="N1512" s="59"/>
      <c r="O1512" s="60"/>
    </row>
    <row r="1513" spans="14:15" x14ac:dyDescent="0.4">
      <c r="N1513" s="59"/>
      <c r="O1513" s="60"/>
    </row>
    <row r="1514" spans="14:15" x14ac:dyDescent="0.4">
      <c r="N1514" s="59"/>
      <c r="O1514" s="60"/>
    </row>
    <row r="1515" spans="14:15" x14ac:dyDescent="0.4">
      <c r="N1515" s="59"/>
      <c r="O1515" s="60"/>
    </row>
    <row r="1516" spans="14:15" x14ac:dyDescent="0.4">
      <c r="N1516" s="59"/>
      <c r="O1516" s="60"/>
    </row>
    <row r="1517" spans="14:15" x14ac:dyDescent="0.4">
      <c r="N1517" s="59"/>
      <c r="O1517" s="60"/>
    </row>
    <row r="1518" spans="14:15" x14ac:dyDescent="0.4">
      <c r="N1518" s="59"/>
      <c r="O1518" s="60"/>
    </row>
    <row r="1519" spans="14:15" x14ac:dyDescent="0.4">
      <c r="N1519" s="59"/>
      <c r="O1519" s="60"/>
    </row>
    <row r="1520" spans="14:15" x14ac:dyDescent="0.4">
      <c r="N1520" s="59"/>
      <c r="O1520" s="60"/>
    </row>
    <row r="1521" spans="14:15" x14ac:dyDescent="0.4">
      <c r="N1521" s="59"/>
      <c r="O1521" s="60"/>
    </row>
    <row r="1522" spans="14:15" x14ac:dyDescent="0.4">
      <c r="N1522" s="59"/>
      <c r="O1522" s="60"/>
    </row>
    <row r="1523" spans="14:15" x14ac:dyDescent="0.4">
      <c r="N1523" s="59"/>
      <c r="O1523" s="60"/>
    </row>
    <row r="1524" spans="14:15" x14ac:dyDescent="0.4">
      <c r="N1524" s="59"/>
      <c r="O1524" s="60"/>
    </row>
    <row r="1525" spans="14:15" x14ac:dyDescent="0.4">
      <c r="N1525" s="59"/>
      <c r="O1525" s="60"/>
    </row>
    <row r="1526" spans="14:15" x14ac:dyDescent="0.4">
      <c r="N1526" s="59"/>
      <c r="O1526" s="60"/>
    </row>
    <row r="1527" spans="14:15" x14ac:dyDescent="0.4">
      <c r="N1527" s="59"/>
      <c r="O1527" s="60"/>
    </row>
    <row r="1528" spans="14:15" x14ac:dyDescent="0.4">
      <c r="N1528" s="59"/>
      <c r="O1528" s="60"/>
    </row>
    <row r="1529" spans="14:15" x14ac:dyDescent="0.4">
      <c r="N1529" s="59"/>
      <c r="O1529" s="60"/>
    </row>
    <row r="1530" spans="14:15" x14ac:dyDescent="0.4">
      <c r="N1530" s="59"/>
      <c r="O1530" s="60"/>
    </row>
    <row r="1531" spans="14:15" x14ac:dyDescent="0.4">
      <c r="N1531" s="59"/>
      <c r="O1531" s="60"/>
    </row>
    <row r="1532" spans="14:15" x14ac:dyDescent="0.4">
      <c r="N1532" s="59"/>
      <c r="O1532" s="60"/>
    </row>
    <row r="1533" spans="14:15" x14ac:dyDescent="0.4">
      <c r="N1533" s="59"/>
      <c r="O1533" s="60"/>
    </row>
    <row r="1534" spans="14:15" x14ac:dyDescent="0.4">
      <c r="N1534" s="59"/>
      <c r="O1534" s="60"/>
    </row>
    <row r="1535" spans="14:15" x14ac:dyDescent="0.4">
      <c r="N1535" s="59"/>
      <c r="O1535" s="60"/>
    </row>
    <row r="1536" spans="14:15" x14ac:dyDescent="0.4">
      <c r="N1536" s="59"/>
      <c r="O1536" s="60"/>
    </row>
    <row r="1537" spans="14:15" x14ac:dyDescent="0.4">
      <c r="N1537" s="59"/>
      <c r="O1537" s="60"/>
    </row>
    <row r="1538" spans="14:15" x14ac:dyDescent="0.4">
      <c r="N1538" s="59"/>
      <c r="O1538" s="60"/>
    </row>
    <row r="1539" spans="14:15" x14ac:dyDescent="0.4">
      <c r="N1539" s="59"/>
      <c r="O1539" s="60"/>
    </row>
    <row r="1540" spans="14:15" x14ac:dyDescent="0.4">
      <c r="N1540" s="59"/>
      <c r="O1540" s="60"/>
    </row>
    <row r="1541" spans="14:15" x14ac:dyDescent="0.4">
      <c r="N1541" s="59"/>
      <c r="O1541" s="60"/>
    </row>
    <row r="1542" spans="14:15" x14ac:dyDescent="0.4">
      <c r="N1542" s="59"/>
      <c r="O1542" s="60"/>
    </row>
    <row r="1543" spans="14:15" x14ac:dyDescent="0.4">
      <c r="N1543" s="59"/>
      <c r="O1543" s="60"/>
    </row>
    <row r="1544" spans="14:15" x14ac:dyDescent="0.4">
      <c r="N1544" s="59"/>
      <c r="O1544" s="60"/>
    </row>
    <row r="1545" spans="14:15" x14ac:dyDescent="0.4">
      <c r="N1545" s="59"/>
      <c r="O1545" s="60"/>
    </row>
    <row r="1546" spans="14:15" x14ac:dyDescent="0.4">
      <c r="N1546" s="59"/>
      <c r="O1546" s="60"/>
    </row>
    <row r="1547" spans="14:15" x14ac:dyDescent="0.4">
      <c r="N1547" s="59"/>
      <c r="O1547" s="60"/>
    </row>
    <row r="1548" spans="14:15" x14ac:dyDescent="0.4">
      <c r="N1548" s="59"/>
      <c r="O1548" s="60"/>
    </row>
    <row r="1549" spans="14:15" x14ac:dyDescent="0.4">
      <c r="N1549" s="59"/>
      <c r="O1549" s="60"/>
    </row>
    <row r="1550" spans="14:15" x14ac:dyDescent="0.4">
      <c r="N1550" s="59"/>
      <c r="O1550" s="60"/>
    </row>
    <row r="1551" spans="14:15" x14ac:dyDescent="0.4">
      <c r="N1551" s="59"/>
      <c r="O1551" s="60"/>
    </row>
    <row r="1552" spans="14:15" x14ac:dyDescent="0.4">
      <c r="N1552" s="59"/>
      <c r="O1552" s="60"/>
    </row>
    <row r="1553" spans="14:15" x14ac:dyDescent="0.4">
      <c r="N1553" s="59"/>
      <c r="O1553" s="60"/>
    </row>
    <row r="1554" spans="14:15" x14ac:dyDescent="0.4">
      <c r="N1554" s="59"/>
      <c r="O1554" s="60"/>
    </row>
    <row r="1555" spans="14:15" x14ac:dyDescent="0.4">
      <c r="N1555" s="59"/>
      <c r="O1555" s="60"/>
    </row>
    <row r="1556" spans="14:15" x14ac:dyDescent="0.4">
      <c r="N1556" s="59"/>
      <c r="O1556" s="60"/>
    </row>
    <row r="1557" spans="14:15" x14ac:dyDescent="0.4">
      <c r="N1557" s="59"/>
      <c r="O1557" s="60"/>
    </row>
    <row r="1558" spans="14:15" x14ac:dyDescent="0.4">
      <c r="N1558" s="59"/>
      <c r="O1558" s="60"/>
    </row>
    <row r="1559" spans="14:15" x14ac:dyDescent="0.4">
      <c r="N1559" s="59"/>
      <c r="O1559" s="60"/>
    </row>
    <row r="1560" spans="14:15" x14ac:dyDescent="0.4">
      <c r="N1560" s="59"/>
      <c r="O1560" s="60"/>
    </row>
    <row r="1561" spans="14:15" x14ac:dyDescent="0.4">
      <c r="N1561" s="59"/>
      <c r="O1561" s="60"/>
    </row>
    <row r="1562" spans="14:15" x14ac:dyDescent="0.4">
      <c r="N1562" s="59"/>
      <c r="O1562" s="60"/>
    </row>
    <row r="1563" spans="14:15" x14ac:dyDescent="0.4">
      <c r="N1563" s="59"/>
      <c r="O1563" s="60"/>
    </row>
    <row r="1564" spans="14:15" x14ac:dyDescent="0.4">
      <c r="N1564" s="59"/>
      <c r="O1564" s="60"/>
    </row>
    <row r="1565" spans="14:15" x14ac:dyDescent="0.4">
      <c r="N1565" s="59"/>
      <c r="O1565" s="60"/>
    </row>
    <row r="1566" spans="14:15" x14ac:dyDescent="0.4">
      <c r="N1566" s="59"/>
      <c r="O1566" s="60"/>
    </row>
    <row r="1567" spans="14:15" x14ac:dyDescent="0.4">
      <c r="N1567" s="59"/>
      <c r="O1567" s="60"/>
    </row>
    <row r="1568" spans="14:15" x14ac:dyDescent="0.4">
      <c r="N1568" s="59"/>
      <c r="O1568" s="60"/>
    </row>
    <row r="1569" spans="14:15" x14ac:dyDescent="0.4">
      <c r="N1569" s="59"/>
      <c r="O1569" s="60"/>
    </row>
    <row r="1570" spans="14:15" x14ac:dyDescent="0.4">
      <c r="N1570" s="59"/>
      <c r="O1570" s="60"/>
    </row>
    <row r="1571" spans="14:15" x14ac:dyDescent="0.4">
      <c r="N1571" s="59"/>
      <c r="O1571" s="60"/>
    </row>
    <row r="1572" spans="14:15" x14ac:dyDescent="0.4">
      <c r="N1572" s="59"/>
      <c r="O1572" s="60"/>
    </row>
    <row r="1573" spans="14:15" x14ac:dyDescent="0.4">
      <c r="N1573" s="59"/>
      <c r="O1573" s="60"/>
    </row>
    <row r="1574" spans="14:15" x14ac:dyDescent="0.4">
      <c r="N1574" s="59"/>
      <c r="O1574" s="60"/>
    </row>
    <row r="1575" spans="14:15" x14ac:dyDescent="0.4">
      <c r="N1575" s="59"/>
      <c r="O1575" s="60"/>
    </row>
    <row r="1576" spans="14:15" x14ac:dyDescent="0.4">
      <c r="N1576" s="59"/>
      <c r="O1576" s="60"/>
    </row>
    <row r="1577" spans="14:15" x14ac:dyDescent="0.4">
      <c r="N1577" s="59"/>
      <c r="O1577" s="60"/>
    </row>
    <row r="1578" spans="14:15" x14ac:dyDescent="0.4">
      <c r="N1578" s="59"/>
      <c r="O1578" s="60"/>
    </row>
    <row r="1579" spans="14:15" x14ac:dyDescent="0.4">
      <c r="N1579" s="59"/>
      <c r="O1579" s="60"/>
    </row>
    <row r="1580" spans="14:15" x14ac:dyDescent="0.4">
      <c r="N1580" s="59"/>
      <c r="O1580" s="60"/>
    </row>
    <row r="1581" spans="14:15" x14ac:dyDescent="0.4">
      <c r="N1581" s="59"/>
      <c r="O1581" s="60"/>
    </row>
    <row r="1582" spans="14:15" x14ac:dyDescent="0.4">
      <c r="N1582" s="59"/>
      <c r="O1582" s="60"/>
    </row>
    <row r="1583" spans="14:15" x14ac:dyDescent="0.4">
      <c r="N1583" s="59"/>
      <c r="O1583" s="60"/>
    </row>
    <row r="1584" spans="14:15" x14ac:dyDescent="0.4">
      <c r="N1584" s="59"/>
      <c r="O1584" s="60"/>
    </row>
    <row r="1585" spans="14:15" x14ac:dyDescent="0.4">
      <c r="N1585" s="59"/>
      <c r="O1585" s="60"/>
    </row>
    <row r="1586" spans="14:15" x14ac:dyDescent="0.4">
      <c r="N1586" s="59"/>
      <c r="O1586" s="60"/>
    </row>
    <row r="1587" spans="14:15" x14ac:dyDescent="0.4">
      <c r="N1587" s="59"/>
      <c r="O1587" s="60"/>
    </row>
    <row r="1588" spans="14:15" x14ac:dyDescent="0.4">
      <c r="N1588" s="59"/>
      <c r="O1588" s="60"/>
    </row>
    <row r="1589" spans="14:15" x14ac:dyDescent="0.4">
      <c r="N1589" s="59"/>
      <c r="O1589" s="60"/>
    </row>
    <row r="1590" spans="14:15" x14ac:dyDescent="0.4">
      <c r="N1590" s="59"/>
      <c r="O1590" s="60"/>
    </row>
    <row r="1591" spans="14:15" x14ac:dyDescent="0.4">
      <c r="N1591" s="59"/>
      <c r="O1591" s="60"/>
    </row>
    <row r="1592" spans="14:15" x14ac:dyDescent="0.4">
      <c r="N1592" s="59"/>
      <c r="O1592" s="60"/>
    </row>
    <row r="1593" spans="14:15" x14ac:dyDescent="0.4">
      <c r="N1593" s="59"/>
      <c r="O1593" s="60"/>
    </row>
    <row r="1594" spans="14:15" x14ac:dyDescent="0.4">
      <c r="N1594" s="59"/>
      <c r="O1594" s="60"/>
    </row>
    <row r="1595" spans="14:15" x14ac:dyDescent="0.4">
      <c r="N1595" s="59"/>
      <c r="O1595" s="60"/>
    </row>
    <row r="1596" spans="14:15" x14ac:dyDescent="0.4">
      <c r="N1596" s="59"/>
      <c r="O1596" s="60"/>
    </row>
    <row r="1597" spans="14:15" x14ac:dyDescent="0.4">
      <c r="N1597" s="59"/>
      <c r="O1597" s="60"/>
    </row>
    <row r="1598" spans="14:15" x14ac:dyDescent="0.4">
      <c r="N1598" s="59"/>
      <c r="O1598" s="60"/>
    </row>
    <row r="1599" spans="14:15" x14ac:dyDescent="0.4">
      <c r="N1599" s="59"/>
      <c r="O1599" s="60"/>
    </row>
    <row r="1600" spans="14:15" x14ac:dyDescent="0.4">
      <c r="N1600" s="59"/>
      <c r="O1600" s="60"/>
    </row>
    <row r="1601" spans="14:15" x14ac:dyDescent="0.4">
      <c r="N1601" s="59"/>
      <c r="O1601" s="60"/>
    </row>
    <row r="1602" spans="14:15" x14ac:dyDescent="0.4">
      <c r="N1602" s="59"/>
      <c r="O1602" s="60"/>
    </row>
    <row r="1603" spans="14:15" x14ac:dyDescent="0.4">
      <c r="N1603" s="59"/>
      <c r="O1603" s="60"/>
    </row>
    <row r="1604" spans="14:15" x14ac:dyDescent="0.4">
      <c r="N1604" s="59"/>
      <c r="O1604" s="60"/>
    </row>
    <row r="1605" spans="14:15" x14ac:dyDescent="0.4">
      <c r="N1605" s="59"/>
      <c r="O1605" s="60"/>
    </row>
    <row r="1606" spans="14:15" x14ac:dyDescent="0.4">
      <c r="N1606" s="59"/>
      <c r="O1606" s="60"/>
    </row>
    <row r="1607" spans="14:15" x14ac:dyDescent="0.4">
      <c r="N1607" s="59"/>
      <c r="O1607" s="60"/>
    </row>
    <row r="1608" spans="14:15" x14ac:dyDescent="0.4">
      <c r="N1608" s="59"/>
      <c r="O1608" s="60"/>
    </row>
    <row r="1609" spans="14:15" x14ac:dyDescent="0.4">
      <c r="N1609" s="59"/>
      <c r="O1609" s="60"/>
    </row>
    <row r="1610" spans="14:15" x14ac:dyDescent="0.4">
      <c r="N1610" s="59"/>
      <c r="O1610" s="60"/>
    </row>
    <row r="1611" spans="14:15" x14ac:dyDescent="0.4">
      <c r="N1611" s="59"/>
      <c r="O1611" s="60"/>
    </row>
    <row r="1612" spans="14:15" x14ac:dyDescent="0.4">
      <c r="N1612" s="59"/>
      <c r="O1612" s="60"/>
    </row>
    <row r="1613" spans="14:15" x14ac:dyDescent="0.4">
      <c r="N1613" s="59"/>
      <c r="O1613" s="60"/>
    </row>
    <row r="1614" spans="14:15" x14ac:dyDescent="0.4">
      <c r="N1614" s="59"/>
      <c r="O1614" s="60"/>
    </row>
    <row r="1615" spans="14:15" x14ac:dyDescent="0.4">
      <c r="N1615" s="59"/>
      <c r="O1615" s="60"/>
    </row>
    <row r="1616" spans="14:15" x14ac:dyDescent="0.4">
      <c r="N1616" s="59"/>
      <c r="O1616" s="60"/>
    </row>
    <row r="1617" spans="14:15" x14ac:dyDescent="0.4">
      <c r="N1617" s="59"/>
      <c r="O1617" s="60"/>
    </row>
    <row r="1618" spans="14:15" x14ac:dyDescent="0.4">
      <c r="N1618" s="59"/>
      <c r="O1618" s="60"/>
    </row>
    <row r="1619" spans="14:15" x14ac:dyDescent="0.4">
      <c r="N1619" s="59"/>
      <c r="O1619" s="60"/>
    </row>
    <row r="1620" spans="14:15" x14ac:dyDescent="0.4">
      <c r="N1620" s="59"/>
      <c r="O1620" s="60"/>
    </row>
    <row r="1621" spans="14:15" x14ac:dyDescent="0.4">
      <c r="N1621" s="59"/>
      <c r="O1621" s="60"/>
    </row>
    <row r="1622" spans="14:15" x14ac:dyDescent="0.4">
      <c r="N1622" s="59"/>
      <c r="O1622" s="60"/>
    </row>
    <row r="1623" spans="14:15" x14ac:dyDescent="0.4">
      <c r="N1623" s="59"/>
      <c r="O1623" s="60"/>
    </row>
    <row r="1624" spans="14:15" x14ac:dyDescent="0.4">
      <c r="N1624" s="59"/>
      <c r="O1624" s="60"/>
    </row>
    <row r="1625" spans="14:15" x14ac:dyDescent="0.4">
      <c r="N1625" s="59"/>
      <c r="O1625" s="60"/>
    </row>
    <row r="1626" spans="14:15" x14ac:dyDescent="0.4">
      <c r="N1626" s="59"/>
      <c r="O1626" s="60"/>
    </row>
    <row r="1627" spans="14:15" x14ac:dyDescent="0.4">
      <c r="N1627" s="59"/>
      <c r="O1627" s="60"/>
    </row>
    <row r="1628" spans="14:15" x14ac:dyDescent="0.4">
      <c r="N1628" s="59"/>
      <c r="O1628" s="60"/>
    </row>
    <row r="1629" spans="14:15" x14ac:dyDescent="0.4">
      <c r="N1629" s="59"/>
      <c r="O1629" s="60"/>
    </row>
    <row r="1630" spans="14:15" x14ac:dyDescent="0.4">
      <c r="N1630" s="59"/>
      <c r="O1630" s="60"/>
    </row>
    <row r="1631" spans="14:15" x14ac:dyDescent="0.4">
      <c r="N1631" s="59"/>
      <c r="O1631" s="60"/>
    </row>
    <row r="1632" spans="14:15" x14ac:dyDescent="0.4">
      <c r="N1632" s="59"/>
      <c r="O1632" s="60"/>
    </row>
    <row r="1633" spans="14:15" x14ac:dyDescent="0.4">
      <c r="N1633" s="59"/>
      <c r="O1633" s="60"/>
    </row>
    <row r="1634" spans="14:15" x14ac:dyDescent="0.4">
      <c r="N1634" s="59"/>
      <c r="O1634" s="60"/>
    </row>
    <row r="1635" spans="14:15" x14ac:dyDescent="0.4">
      <c r="N1635" s="59"/>
      <c r="O1635" s="60"/>
    </row>
    <row r="1636" spans="14:15" x14ac:dyDescent="0.4">
      <c r="N1636" s="59"/>
      <c r="O1636" s="60"/>
    </row>
    <row r="1637" spans="14:15" x14ac:dyDescent="0.4">
      <c r="N1637" s="59"/>
      <c r="O1637" s="60"/>
    </row>
    <row r="1638" spans="14:15" x14ac:dyDescent="0.4">
      <c r="N1638" s="59"/>
      <c r="O1638" s="60"/>
    </row>
    <row r="1639" spans="14:15" x14ac:dyDescent="0.4">
      <c r="N1639" s="59"/>
      <c r="O1639" s="60"/>
    </row>
    <row r="1640" spans="14:15" x14ac:dyDescent="0.4">
      <c r="N1640" s="59"/>
      <c r="O1640" s="60"/>
    </row>
    <row r="1641" spans="14:15" x14ac:dyDescent="0.4">
      <c r="N1641" s="59"/>
      <c r="O1641" s="60"/>
    </row>
    <row r="1642" spans="14:15" x14ac:dyDescent="0.4">
      <c r="N1642" s="59"/>
      <c r="O1642" s="60"/>
    </row>
    <row r="1643" spans="14:15" x14ac:dyDescent="0.4">
      <c r="N1643" s="59"/>
      <c r="O1643" s="60"/>
    </row>
    <row r="1644" spans="14:15" x14ac:dyDescent="0.4">
      <c r="N1644" s="59"/>
      <c r="O1644" s="60"/>
    </row>
    <row r="1645" spans="14:15" x14ac:dyDescent="0.4">
      <c r="N1645" s="59"/>
      <c r="O1645" s="60"/>
    </row>
    <row r="1646" spans="14:15" x14ac:dyDescent="0.4">
      <c r="N1646" s="59"/>
      <c r="O1646" s="60"/>
    </row>
    <row r="1647" spans="14:15" x14ac:dyDescent="0.4">
      <c r="N1647" s="59"/>
      <c r="O1647" s="60"/>
    </row>
    <row r="1648" spans="14:15" x14ac:dyDescent="0.4">
      <c r="N1648" s="59"/>
      <c r="O1648" s="60"/>
    </row>
    <row r="1649" spans="14:15" x14ac:dyDescent="0.4">
      <c r="N1649" s="59"/>
      <c r="O1649" s="60"/>
    </row>
    <row r="1650" spans="14:15" x14ac:dyDescent="0.4">
      <c r="N1650" s="59"/>
      <c r="O1650" s="60"/>
    </row>
    <row r="1651" spans="14:15" x14ac:dyDescent="0.4">
      <c r="N1651" s="59"/>
      <c r="O1651" s="60"/>
    </row>
    <row r="1652" spans="14:15" x14ac:dyDescent="0.4">
      <c r="N1652" s="59"/>
      <c r="O1652" s="60"/>
    </row>
    <row r="1653" spans="14:15" x14ac:dyDescent="0.4">
      <c r="N1653" s="59"/>
      <c r="O1653" s="60"/>
    </row>
    <row r="1654" spans="14:15" x14ac:dyDescent="0.4">
      <c r="N1654" s="59"/>
      <c r="O1654" s="60"/>
    </row>
    <row r="1655" spans="14:15" x14ac:dyDescent="0.4">
      <c r="N1655" s="59"/>
      <c r="O1655" s="60"/>
    </row>
    <row r="1656" spans="14:15" x14ac:dyDescent="0.4">
      <c r="N1656" s="59"/>
      <c r="O1656" s="60"/>
    </row>
    <row r="1657" spans="14:15" x14ac:dyDescent="0.4">
      <c r="N1657" s="59"/>
      <c r="O1657" s="60"/>
    </row>
    <row r="1658" spans="14:15" x14ac:dyDescent="0.4">
      <c r="N1658" s="59"/>
      <c r="O1658" s="60"/>
    </row>
    <row r="1659" spans="14:15" x14ac:dyDescent="0.4">
      <c r="N1659" s="59"/>
      <c r="O1659" s="60"/>
    </row>
    <row r="1660" spans="14:15" x14ac:dyDescent="0.4">
      <c r="N1660" s="59"/>
      <c r="O1660" s="60"/>
    </row>
    <row r="1661" spans="14:15" x14ac:dyDescent="0.4">
      <c r="N1661" s="59"/>
      <c r="O1661" s="60"/>
    </row>
    <row r="1662" spans="14:15" x14ac:dyDescent="0.4">
      <c r="N1662" s="59"/>
      <c r="O1662" s="60"/>
    </row>
    <row r="1663" spans="14:15" x14ac:dyDescent="0.4">
      <c r="N1663" s="59"/>
      <c r="O1663" s="60"/>
    </row>
    <row r="1664" spans="14:15" x14ac:dyDescent="0.4">
      <c r="N1664" s="59"/>
      <c r="O1664" s="60"/>
    </row>
    <row r="1665" spans="14:15" x14ac:dyDescent="0.4">
      <c r="N1665" s="59"/>
      <c r="O1665" s="60"/>
    </row>
    <row r="1666" spans="14:15" x14ac:dyDescent="0.4">
      <c r="N1666" s="59"/>
      <c r="O1666" s="60"/>
    </row>
    <row r="1667" spans="14:15" x14ac:dyDescent="0.4">
      <c r="N1667" s="59"/>
      <c r="O1667" s="60"/>
    </row>
    <row r="1668" spans="14:15" x14ac:dyDescent="0.4">
      <c r="N1668" s="59"/>
      <c r="O1668" s="60"/>
    </row>
    <row r="1669" spans="14:15" x14ac:dyDescent="0.4">
      <c r="N1669" s="59"/>
      <c r="O1669" s="60"/>
    </row>
    <row r="1670" spans="14:15" x14ac:dyDescent="0.4">
      <c r="N1670" s="59"/>
      <c r="O1670" s="60"/>
    </row>
    <row r="1671" spans="14:15" x14ac:dyDescent="0.4">
      <c r="N1671" s="59"/>
      <c r="O1671" s="60"/>
    </row>
    <row r="1672" spans="14:15" x14ac:dyDescent="0.4">
      <c r="N1672" s="59"/>
      <c r="O1672" s="60"/>
    </row>
    <row r="1673" spans="14:15" x14ac:dyDescent="0.4">
      <c r="N1673" s="59"/>
      <c r="O1673" s="60"/>
    </row>
    <row r="1674" spans="14:15" x14ac:dyDescent="0.4">
      <c r="N1674" s="59"/>
      <c r="O1674" s="60"/>
    </row>
    <row r="1675" spans="14:15" x14ac:dyDescent="0.4">
      <c r="N1675" s="59"/>
      <c r="O1675" s="60"/>
    </row>
    <row r="1676" spans="14:15" x14ac:dyDescent="0.4">
      <c r="N1676" s="59"/>
      <c r="O1676" s="60"/>
    </row>
    <row r="1677" spans="14:15" x14ac:dyDescent="0.4">
      <c r="N1677" s="59"/>
      <c r="O1677" s="60"/>
    </row>
    <row r="1678" spans="14:15" x14ac:dyDescent="0.4">
      <c r="N1678" s="59"/>
      <c r="O1678" s="60"/>
    </row>
    <row r="1679" spans="14:15" x14ac:dyDescent="0.4">
      <c r="N1679" s="59"/>
      <c r="O1679" s="60"/>
    </row>
    <row r="1680" spans="14:15" x14ac:dyDescent="0.4">
      <c r="N1680" s="59"/>
      <c r="O1680" s="60"/>
    </row>
    <row r="1681" spans="14:15" x14ac:dyDescent="0.4">
      <c r="N1681" s="59"/>
      <c r="O1681" s="60"/>
    </row>
    <row r="1682" spans="14:15" x14ac:dyDescent="0.4">
      <c r="N1682" s="59"/>
      <c r="O1682" s="60"/>
    </row>
    <row r="1683" spans="14:15" x14ac:dyDescent="0.4">
      <c r="N1683" s="59"/>
      <c r="O1683" s="60"/>
    </row>
    <row r="1684" spans="14:15" x14ac:dyDescent="0.4">
      <c r="N1684" s="59"/>
      <c r="O1684" s="60"/>
    </row>
    <row r="1685" spans="14:15" x14ac:dyDescent="0.4">
      <c r="N1685" s="59"/>
      <c r="O1685" s="60"/>
    </row>
    <row r="1686" spans="14:15" x14ac:dyDescent="0.4">
      <c r="N1686" s="59"/>
      <c r="O1686" s="60"/>
    </row>
    <row r="1687" spans="14:15" x14ac:dyDescent="0.4">
      <c r="N1687" s="59"/>
      <c r="O1687" s="60"/>
    </row>
    <row r="1688" spans="14:15" x14ac:dyDescent="0.4">
      <c r="N1688" s="59"/>
      <c r="O1688" s="60"/>
    </row>
    <row r="1689" spans="14:15" x14ac:dyDescent="0.4">
      <c r="N1689" s="59"/>
      <c r="O1689" s="60"/>
    </row>
    <row r="1690" spans="14:15" x14ac:dyDescent="0.4">
      <c r="N1690" s="59"/>
      <c r="O1690" s="60"/>
    </row>
    <row r="1691" spans="14:15" x14ac:dyDescent="0.4">
      <c r="N1691" s="59"/>
      <c r="O1691" s="60"/>
    </row>
    <row r="1692" spans="14:15" x14ac:dyDescent="0.4">
      <c r="N1692" s="59"/>
      <c r="O1692" s="60"/>
    </row>
    <row r="1693" spans="14:15" x14ac:dyDescent="0.4">
      <c r="N1693" s="59"/>
      <c r="O1693" s="60"/>
    </row>
    <row r="1694" spans="14:15" x14ac:dyDescent="0.4">
      <c r="N1694" s="59"/>
      <c r="O1694" s="60"/>
    </row>
    <row r="1695" spans="14:15" x14ac:dyDescent="0.4">
      <c r="N1695" s="59"/>
      <c r="O1695" s="60"/>
    </row>
    <row r="1696" spans="14:15" x14ac:dyDescent="0.4">
      <c r="N1696" s="59"/>
      <c r="O1696" s="60"/>
    </row>
    <row r="1697" spans="14:15" x14ac:dyDescent="0.4">
      <c r="N1697" s="59"/>
      <c r="O1697" s="60"/>
    </row>
    <row r="1698" spans="14:15" x14ac:dyDescent="0.4">
      <c r="N1698" s="59"/>
      <c r="O1698" s="60"/>
    </row>
    <row r="1699" spans="14:15" x14ac:dyDescent="0.4">
      <c r="N1699" s="59"/>
      <c r="O1699" s="60"/>
    </row>
    <row r="1700" spans="14:15" x14ac:dyDescent="0.4">
      <c r="N1700" s="59"/>
      <c r="O1700" s="60"/>
    </row>
    <row r="1701" spans="14:15" x14ac:dyDescent="0.4">
      <c r="N1701" s="59"/>
      <c r="O1701" s="60"/>
    </row>
    <row r="1702" spans="14:15" x14ac:dyDescent="0.4">
      <c r="N1702" s="59"/>
      <c r="O1702" s="60"/>
    </row>
    <row r="1703" spans="14:15" x14ac:dyDescent="0.4">
      <c r="N1703" s="59"/>
      <c r="O1703" s="60"/>
    </row>
    <row r="1704" spans="14:15" x14ac:dyDescent="0.4">
      <c r="N1704" s="59"/>
      <c r="O1704" s="60"/>
    </row>
    <row r="1705" spans="14:15" x14ac:dyDescent="0.4">
      <c r="N1705" s="59"/>
      <c r="O1705" s="60"/>
    </row>
    <row r="1706" spans="14:15" x14ac:dyDescent="0.4">
      <c r="N1706" s="59"/>
      <c r="O1706" s="60"/>
    </row>
    <row r="1707" spans="14:15" x14ac:dyDescent="0.4">
      <c r="N1707" s="59"/>
      <c r="O1707" s="60"/>
    </row>
    <row r="1708" spans="14:15" x14ac:dyDescent="0.4">
      <c r="N1708" s="59"/>
      <c r="O1708" s="60"/>
    </row>
    <row r="1709" spans="14:15" x14ac:dyDescent="0.4">
      <c r="N1709" s="59"/>
      <c r="O1709" s="60"/>
    </row>
    <row r="1710" spans="14:15" x14ac:dyDescent="0.4">
      <c r="N1710" s="59"/>
      <c r="O1710" s="60"/>
    </row>
    <row r="1711" spans="14:15" x14ac:dyDescent="0.4">
      <c r="N1711" s="59"/>
      <c r="O1711" s="60"/>
    </row>
    <row r="1712" spans="14:15" x14ac:dyDescent="0.4">
      <c r="N1712" s="59"/>
      <c r="O1712" s="60"/>
    </row>
    <row r="1713" spans="14:15" x14ac:dyDescent="0.4">
      <c r="N1713" s="59"/>
      <c r="O1713" s="60"/>
    </row>
    <row r="1714" spans="14:15" x14ac:dyDescent="0.4">
      <c r="N1714" s="59"/>
      <c r="O1714" s="60"/>
    </row>
    <row r="1715" spans="14:15" x14ac:dyDescent="0.4">
      <c r="N1715" s="59"/>
      <c r="O1715" s="60"/>
    </row>
    <row r="1716" spans="14:15" x14ac:dyDescent="0.4">
      <c r="N1716" s="59"/>
      <c r="O1716" s="60"/>
    </row>
    <row r="1717" spans="14:15" x14ac:dyDescent="0.4">
      <c r="N1717" s="59"/>
      <c r="O1717" s="60"/>
    </row>
    <row r="1718" spans="14:15" x14ac:dyDescent="0.4">
      <c r="N1718" s="59"/>
      <c r="O1718" s="60"/>
    </row>
    <row r="1719" spans="14:15" x14ac:dyDescent="0.4">
      <c r="N1719" s="59"/>
      <c r="O1719" s="60"/>
    </row>
    <row r="1720" spans="14:15" x14ac:dyDescent="0.4">
      <c r="N1720" s="59"/>
      <c r="O1720" s="60"/>
    </row>
    <row r="1721" spans="14:15" x14ac:dyDescent="0.4">
      <c r="N1721" s="59"/>
      <c r="O1721" s="60"/>
    </row>
    <row r="1722" spans="14:15" x14ac:dyDescent="0.4">
      <c r="N1722" s="59"/>
      <c r="O1722" s="60"/>
    </row>
    <row r="1723" spans="14:15" x14ac:dyDescent="0.4">
      <c r="N1723" s="59"/>
      <c r="O1723" s="60"/>
    </row>
    <row r="1724" spans="14:15" x14ac:dyDescent="0.4">
      <c r="N1724" s="59"/>
      <c r="O1724" s="60"/>
    </row>
    <row r="1725" spans="14:15" x14ac:dyDescent="0.4">
      <c r="N1725" s="59"/>
      <c r="O1725" s="60"/>
    </row>
    <row r="1726" spans="14:15" x14ac:dyDescent="0.4">
      <c r="N1726" s="59"/>
      <c r="O1726" s="60"/>
    </row>
    <row r="1727" spans="14:15" x14ac:dyDescent="0.4">
      <c r="N1727" s="59"/>
      <c r="O1727" s="60"/>
    </row>
    <row r="1728" spans="14:15" x14ac:dyDescent="0.4">
      <c r="N1728" s="59"/>
      <c r="O1728" s="60"/>
    </row>
    <row r="1729" spans="14:15" x14ac:dyDescent="0.4">
      <c r="N1729" s="59"/>
      <c r="O1729" s="60"/>
    </row>
    <row r="1730" spans="14:15" x14ac:dyDescent="0.4">
      <c r="N1730" s="59"/>
      <c r="O1730" s="60"/>
    </row>
    <row r="1731" spans="14:15" x14ac:dyDescent="0.4">
      <c r="N1731" s="59"/>
      <c r="O1731" s="60"/>
    </row>
    <row r="1732" spans="14:15" x14ac:dyDescent="0.4">
      <c r="N1732" s="59"/>
      <c r="O1732" s="60"/>
    </row>
    <row r="1733" spans="14:15" x14ac:dyDescent="0.4">
      <c r="N1733" s="59"/>
      <c r="O1733" s="60"/>
    </row>
    <row r="1734" spans="14:15" x14ac:dyDescent="0.4">
      <c r="N1734" s="59"/>
      <c r="O1734" s="60"/>
    </row>
    <row r="1735" spans="14:15" x14ac:dyDescent="0.4">
      <c r="N1735" s="59"/>
      <c r="O1735" s="60"/>
    </row>
    <row r="1736" spans="14:15" x14ac:dyDescent="0.4">
      <c r="N1736" s="59"/>
      <c r="O1736" s="60"/>
    </row>
    <row r="1737" spans="14:15" x14ac:dyDescent="0.4">
      <c r="N1737" s="59"/>
      <c r="O1737" s="60"/>
    </row>
    <row r="1738" spans="14:15" x14ac:dyDescent="0.4">
      <c r="N1738" s="59"/>
      <c r="O1738" s="60"/>
    </row>
    <row r="1739" spans="14:15" x14ac:dyDescent="0.4">
      <c r="N1739" s="59"/>
      <c r="O1739" s="60"/>
    </row>
    <row r="1740" spans="14:15" x14ac:dyDescent="0.4">
      <c r="N1740" s="59"/>
      <c r="O1740" s="60"/>
    </row>
    <row r="1741" spans="14:15" x14ac:dyDescent="0.4">
      <c r="N1741" s="59"/>
      <c r="O1741" s="60"/>
    </row>
    <row r="1742" spans="14:15" x14ac:dyDescent="0.4">
      <c r="N1742" s="59"/>
      <c r="O1742" s="60"/>
    </row>
    <row r="1743" spans="14:15" x14ac:dyDescent="0.4">
      <c r="N1743" s="59"/>
      <c r="O1743" s="60"/>
    </row>
    <row r="1744" spans="14:15" x14ac:dyDescent="0.4">
      <c r="N1744" s="59"/>
      <c r="O1744" s="60"/>
    </row>
    <row r="1745" spans="14:15" x14ac:dyDescent="0.4">
      <c r="N1745" s="59"/>
      <c r="O1745" s="60"/>
    </row>
    <row r="1746" spans="14:15" x14ac:dyDescent="0.4">
      <c r="N1746" s="59"/>
      <c r="O1746" s="60"/>
    </row>
    <row r="1747" spans="14:15" x14ac:dyDescent="0.4">
      <c r="N1747" s="59"/>
      <c r="O1747" s="60"/>
    </row>
    <row r="1748" spans="14:15" x14ac:dyDescent="0.4">
      <c r="N1748" s="59"/>
      <c r="O1748" s="60"/>
    </row>
    <row r="1749" spans="14:15" x14ac:dyDescent="0.4">
      <c r="N1749" s="59"/>
      <c r="O1749" s="60"/>
    </row>
    <row r="1750" spans="14:15" x14ac:dyDescent="0.4">
      <c r="N1750" s="59"/>
      <c r="O1750" s="60"/>
    </row>
    <row r="1751" spans="14:15" x14ac:dyDescent="0.4">
      <c r="N1751" s="59"/>
      <c r="O1751" s="60"/>
    </row>
    <row r="1752" spans="14:15" x14ac:dyDescent="0.4">
      <c r="N1752" s="59"/>
      <c r="O1752" s="60"/>
    </row>
    <row r="1753" spans="14:15" x14ac:dyDescent="0.4">
      <c r="N1753" s="59"/>
      <c r="O1753" s="60"/>
    </row>
    <row r="1754" spans="14:15" x14ac:dyDescent="0.4">
      <c r="N1754" s="59"/>
      <c r="O1754" s="60"/>
    </row>
    <row r="1755" spans="14:15" x14ac:dyDescent="0.4">
      <c r="N1755" s="59"/>
      <c r="O1755" s="60"/>
    </row>
    <row r="1756" spans="14:15" x14ac:dyDescent="0.4">
      <c r="N1756" s="59"/>
      <c r="O1756" s="60"/>
    </row>
    <row r="1757" spans="14:15" x14ac:dyDescent="0.4">
      <c r="N1757" s="59"/>
      <c r="O1757" s="60"/>
    </row>
    <row r="1758" spans="14:15" x14ac:dyDescent="0.4">
      <c r="N1758" s="59"/>
      <c r="O1758" s="60"/>
    </row>
    <row r="1759" spans="14:15" x14ac:dyDescent="0.4">
      <c r="N1759" s="59"/>
      <c r="O1759" s="60"/>
    </row>
    <row r="1760" spans="14:15" x14ac:dyDescent="0.4">
      <c r="N1760" s="59"/>
      <c r="O1760" s="60"/>
    </row>
    <row r="1761" spans="14:15" x14ac:dyDescent="0.4">
      <c r="N1761" s="59"/>
      <c r="O1761" s="60"/>
    </row>
    <row r="1762" spans="14:15" x14ac:dyDescent="0.4">
      <c r="N1762" s="59"/>
      <c r="O1762" s="60"/>
    </row>
    <row r="1763" spans="14:15" x14ac:dyDescent="0.4">
      <c r="N1763" s="59"/>
      <c r="O1763" s="60"/>
    </row>
    <row r="1764" spans="14:15" x14ac:dyDescent="0.4">
      <c r="N1764" s="59"/>
      <c r="O1764" s="60"/>
    </row>
    <row r="1765" spans="14:15" x14ac:dyDescent="0.4">
      <c r="N1765" s="59"/>
      <c r="O1765" s="60"/>
    </row>
    <row r="1766" spans="14:15" x14ac:dyDescent="0.4">
      <c r="N1766" s="59"/>
      <c r="O1766" s="60"/>
    </row>
    <row r="1767" spans="14:15" x14ac:dyDescent="0.4">
      <c r="N1767" s="59"/>
      <c r="O1767" s="60"/>
    </row>
    <row r="1768" spans="14:15" x14ac:dyDescent="0.4">
      <c r="N1768" s="59"/>
      <c r="O1768" s="60"/>
    </row>
    <row r="1769" spans="14:15" x14ac:dyDescent="0.4">
      <c r="N1769" s="59"/>
      <c r="O1769" s="60"/>
    </row>
    <row r="1770" spans="14:15" x14ac:dyDescent="0.4">
      <c r="N1770" s="59"/>
      <c r="O1770" s="60"/>
    </row>
    <row r="1771" spans="14:15" x14ac:dyDescent="0.4">
      <c r="N1771" s="59"/>
      <c r="O1771" s="60"/>
    </row>
    <row r="1772" spans="14:15" x14ac:dyDescent="0.4">
      <c r="N1772" s="59"/>
      <c r="O1772" s="60"/>
    </row>
    <row r="1773" spans="14:15" x14ac:dyDescent="0.4">
      <c r="N1773" s="59"/>
      <c r="O1773" s="60"/>
    </row>
    <row r="1774" spans="14:15" x14ac:dyDescent="0.4">
      <c r="N1774" s="59"/>
      <c r="O1774" s="60"/>
    </row>
    <row r="1775" spans="14:15" x14ac:dyDescent="0.4">
      <c r="N1775" s="59"/>
      <c r="O1775" s="60"/>
    </row>
    <row r="1776" spans="14:15" x14ac:dyDescent="0.4">
      <c r="N1776" s="59"/>
      <c r="O1776" s="60"/>
    </row>
    <row r="1777" spans="14:15" x14ac:dyDescent="0.4">
      <c r="N1777" s="59"/>
      <c r="O1777" s="60"/>
    </row>
    <row r="1778" spans="14:15" x14ac:dyDescent="0.4">
      <c r="N1778" s="59"/>
      <c r="O1778" s="60"/>
    </row>
    <row r="1779" spans="14:15" x14ac:dyDescent="0.4">
      <c r="N1779" s="59"/>
      <c r="O1779" s="60"/>
    </row>
    <row r="1780" spans="14:15" x14ac:dyDescent="0.4">
      <c r="N1780" s="59"/>
      <c r="O1780" s="60"/>
    </row>
    <row r="1781" spans="14:15" x14ac:dyDescent="0.4">
      <c r="N1781" s="59"/>
      <c r="O1781" s="60"/>
    </row>
    <row r="1782" spans="14:15" x14ac:dyDescent="0.4">
      <c r="N1782" s="59"/>
      <c r="O1782" s="60"/>
    </row>
    <row r="1783" spans="14:15" x14ac:dyDescent="0.4">
      <c r="N1783" s="59"/>
      <c r="O1783" s="60"/>
    </row>
    <row r="1784" spans="14:15" x14ac:dyDescent="0.4">
      <c r="N1784" s="59"/>
      <c r="O1784" s="60"/>
    </row>
    <row r="1785" spans="14:15" x14ac:dyDescent="0.4">
      <c r="N1785" s="59"/>
      <c r="O1785" s="60"/>
    </row>
    <row r="1786" spans="14:15" x14ac:dyDescent="0.4">
      <c r="N1786" s="59"/>
      <c r="O1786" s="60"/>
    </row>
    <row r="1787" spans="14:15" x14ac:dyDescent="0.4">
      <c r="N1787" s="59"/>
      <c r="O1787" s="60"/>
    </row>
    <row r="1788" spans="14:15" x14ac:dyDescent="0.4">
      <c r="N1788" s="59"/>
      <c r="O1788" s="60"/>
    </row>
    <row r="1789" spans="14:15" x14ac:dyDescent="0.4">
      <c r="N1789" s="59"/>
      <c r="O1789" s="60"/>
    </row>
    <row r="1790" spans="14:15" x14ac:dyDescent="0.4">
      <c r="N1790" s="59"/>
      <c r="O1790" s="60"/>
    </row>
    <row r="1791" spans="14:15" x14ac:dyDescent="0.4">
      <c r="N1791" s="59"/>
      <c r="O1791" s="60"/>
    </row>
    <row r="1792" spans="14:15" x14ac:dyDescent="0.4">
      <c r="N1792" s="59"/>
      <c r="O1792" s="60"/>
    </row>
    <row r="1793" spans="14:15" x14ac:dyDescent="0.4">
      <c r="N1793" s="59"/>
      <c r="O1793" s="60"/>
    </row>
    <row r="1794" spans="14:15" x14ac:dyDescent="0.4">
      <c r="N1794" s="59"/>
      <c r="O1794" s="60"/>
    </row>
    <row r="1795" spans="14:15" x14ac:dyDescent="0.4">
      <c r="N1795" s="59"/>
      <c r="O1795" s="60"/>
    </row>
    <row r="1796" spans="14:15" x14ac:dyDescent="0.4">
      <c r="N1796" s="59"/>
      <c r="O1796" s="60"/>
    </row>
    <row r="1797" spans="14:15" x14ac:dyDescent="0.4">
      <c r="N1797" s="59"/>
      <c r="O1797" s="60"/>
    </row>
    <row r="1798" spans="14:15" x14ac:dyDescent="0.4">
      <c r="N1798" s="59"/>
      <c r="O1798" s="60"/>
    </row>
    <row r="1799" spans="14:15" x14ac:dyDescent="0.4">
      <c r="N1799" s="59"/>
      <c r="O1799" s="60"/>
    </row>
    <row r="1800" spans="14:15" x14ac:dyDescent="0.4">
      <c r="N1800" s="59"/>
      <c r="O1800" s="60"/>
    </row>
    <row r="1801" spans="14:15" x14ac:dyDescent="0.4">
      <c r="N1801" s="59"/>
      <c r="O1801" s="60"/>
    </row>
    <row r="1802" spans="14:15" x14ac:dyDescent="0.4">
      <c r="N1802" s="59"/>
      <c r="O1802" s="60"/>
    </row>
    <row r="1803" spans="14:15" x14ac:dyDescent="0.4">
      <c r="N1803" s="59"/>
      <c r="O1803" s="60"/>
    </row>
    <row r="1804" spans="14:15" x14ac:dyDescent="0.4">
      <c r="N1804" s="59"/>
      <c r="O1804" s="60"/>
    </row>
    <row r="1805" spans="14:15" x14ac:dyDescent="0.4">
      <c r="N1805" s="59"/>
      <c r="O1805" s="60"/>
    </row>
    <row r="1806" spans="14:15" x14ac:dyDescent="0.4">
      <c r="N1806" s="59"/>
      <c r="O1806" s="60"/>
    </row>
    <row r="1807" spans="14:15" x14ac:dyDescent="0.4">
      <c r="N1807" s="59"/>
      <c r="O1807" s="60"/>
    </row>
    <row r="1808" spans="14:15" x14ac:dyDescent="0.4">
      <c r="N1808" s="59"/>
      <c r="O1808" s="60"/>
    </row>
    <row r="1809" spans="14:15" x14ac:dyDescent="0.4">
      <c r="N1809" s="59"/>
      <c r="O1809" s="60"/>
    </row>
    <row r="1810" spans="14:15" x14ac:dyDescent="0.4">
      <c r="N1810" s="59"/>
      <c r="O1810" s="60"/>
    </row>
    <row r="1811" spans="14:15" x14ac:dyDescent="0.4">
      <c r="N1811" s="59"/>
      <c r="O1811" s="60"/>
    </row>
    <row r="1812" spans="14:15" x14ac:dyDescent="0.4">
      <c r="N1812" s="59"/>
      <c r="O1812" s="60"/>
    </row>
    <row r="1813" spans="14:15" x14ac:dyDescent="0.4">
      <c r="N1813" s="59"/>
      <c r="O1813" s="60"/>
    </row>
    <row r="1814" spans="14:15" x14ac:dyDescent="0.4">
      <c r="N1814" s="59"/>
      <c r="O1814" s="60"/>
    </row>
    <row r="1815" spans="14:15" x14ac:dyDescent="0.4">
      <c r="N1815" s="59"/>
      <c r="O1815" s="60"/>
    </row>
    <row r="1816" spans="14:15" x14ac:dyDescent="0.4">
      <c r="N1816" s="59"/>
      <c r="O1816" s="60"/>
    </row>
    <row r="1817" spans="14:15" x14ac:dyDescent="0.4">
      <c r="N1817" s="59"/>
      <c r="O1817" s="60"/>
    </row>
    <row r="1818" spans="14:15" x14ac:dyDescent="0.4">
      <c r="N1818" s="59"/>
      <c r="O1818" s="60"/>
    </row>
    <row r="1819" spans="14:15" x14ac:dyDescent="0.4">
      <c r="N1819" s="59"/>
      <c r="O1819" s="60"/>
    </row>
    <row r="1820" spans="14:15" x14ac:dyDescent="0.4">
      <c r="N1820" s="59"/>
      <c r="O1820" s="60"/>
    </row>
    <row r="1821" spans="14:15" x14ac:dyDescent="0.4">
      <c r="N1821" s="59"/>
      <c r="O1821" s="60"/>
    </row>
    <row r="1822" spans="14:15" x14ac:dyDescent="0.4">
      <c r="N1822" s="59"/>
      <c r="O1822" s="60"/>
    </row>
    <row r="1823" spans="14:15" x14ac:dyDescent="0.4">
      <c r="N1823" s="59"/>
      <c r="O1823" s="60"/>
    </row>
    <row r="1824" spans="14:15" x14ac:dyDescent="0.4">
      <c r="N1824" s="59"/>
      <c r="O1824" s="60"/>
    </row>
    <row r="1825" spans="14:15" x14ac:dyDescent="0.4">
      <c r="N1825" s="59"/>
      <c r="O1825" s="60"/>
    </row>
    <row r="1826" spans="14:15" x14ac:dyDescent="0.4">
      <c r="N1826" s="59"/>
      <c r="O1826" s="60"/>
    </row>
    <row r="1827" spans="14:15" x14ac:dyDescent="0.4">
      <c r="N1827" s="59"/>
      <c r="O1827" s="60"/>
    </row>
    <row r="1828" spans="14:15" x14ac:dyDescent="0.4">
      <c r="N1828" s="59"/>
      <c r="O1828" s="60"/>
    </row>
    <row r="1829" spans="14:15" x14ac:dyDescent="0.4">
      <c r="N1829" s="59"/>
      <c r="O1829" s="60"/>
    </row>
    <row r="1830" spans="14:15" x14ac:dyDescent="0.4">
      <c r="N1830" s="59"/>
      <c r="O1830" s="60"/>
    </row>
    <row r="1831" spans="14:15" x14ac:dyDescent="0.4">
      <c r="N1831" s="59"/>
      <c r="O1831" s="60"/>
    </row>
    <row r="1832" spans="14:15" x14ac:dyDescent="0.4">
      <c r="N1832" s="59"/>
      <c r="O1832" s="60"/>
    </row>
    <row r="1833" spans="14:15" x14ac:dyDescent="0.4">
      <c r="N1833" s="59"/>
      <c r="O1833" s="60"/>
    </row>
    <row r="1834" spans="14:15" x14ac:dyDescent="0.4">
      <c r="N1834" s="59"/>
      <c r="O1834" s="60"/>
    </row>
    <row r="1835" spans="14:15" x14ac:dyDescent="0.4">
      <c r="N1835" s="59"/>
      <c r="O1835" s="60"/>
    </row>
    <row r="1836" spans="14:15" x14ac:dyDescent="0.4">
      <c r="N1836" s="59"/>
      <c r="O1836" s="60"/>
    </row>
    <row r="1837" spans="14:15" x14ac:dyDescent="0.4">
      <c r="N1837" s="59"/>
      <c r="O1837" s="60"/>
    </row>
    <row r="1838" spans="14:15" x14ac:dyDescent="0.4">
      <c r="N1838" s="59"/>
      <c r="O1838" s="60"/>
    </row>
    <row r="1839" spans="14:15" x14ac:dyDescent="0.4">
      <c r="N1839" s="59"/>
      <c r="O1839" s="60"/>
    </row>
    <row r="1840" spans="14:15" x14ac:dyDescent="0.4">
      <c r="N1840" s="59"/>
      <c r="O1840" s="60"/>
    </row>
    <row r="1841" spans="14:15" x14ac:dyDescent="0.4">
      <c r="N1841" s="59"/>
      <c r="O1841" s="60"/>
    </row>
    <row r="1842" spans="14:15" x14ac:dyDescent="0.4">
      <c r="N1842" s="59"/>
      <c r="O1842" s="60"/>
    </row>
    <row r="1843" spans="14:15" x14ac:dyDescent="0.4">
      <c r="N1843" s="59"/>
      <c r="O1843" s="60"/>
    </row>
    <row r="1844" spans="14:15" x14ac:dyDescent="0.4">
      <c r="N1844" s="59"/>
      <c r="O1844" s="60"/>
    </row>
    <row r="1845" spans="14:15" x14ac:dyDescent="0.4">
      <c r="N1845" s="59"/>
      <c r="O1845" s="60"/>
    </row>
    <row r="1846" spans="14:15" x14ac:dyDescent="0.4">
      <c r="N1846" s="59"/>
      <c r="O1846" s="60"/>
    </row>
    <row r="1847" spans="14:15" x14ac:dyDescent="0.4">
      <c r="N1847" s="59"/>
      <c r="O1847" s="60"/>
    </row>
    <row r="1848" spans="14:15" x14ac:dyDescent="0.4">
      <c r="N1848" s="59"/>
      <c r="O1848" s="60"/>
    </row>
    <row r="1849" spans="14:15" x14ac:dyDescent="0.4">
      <c r="N1849" s="59"/>
      <c r="O1849" s="60"/>
    </row>
    <row r="1850" spans="14:15" x14ac:dyDescent="0.4">
      <c r="N1850" s="59"/>
      <c r="O1850" s="60"/>
    </row>
    <row r="1851" spans="14:15" x14ac:dyDescent="0.4">
      <c r="N1851" s="59"/>
      <c r="O1851" s="60"/>
    </row>
    <row r="1852" spans="14:15" x14ac:dyDescent="0.4">
      <c r="N1852" s="59"/>
      <c r="O1852" s="60"/>
    </row>
    <row r="1853" spans="14:15" x14ac:dyDescent="0.4">
      <c r="N1853" s="59"/>
      <c r="O1853" s="60"/>
    </row>
    <row r="1854" spans="14:15" x14ac:dyDescent="0.4">
      <c r="N1854" s="59"/>
      <c r="O1854" s="60"/>
    </row>
    <row r="1855" spans="14:15" x14ac:dyDescent="0.4">
      <c r="N1855" s="59"/>
      <c r="O1855" s="60"/>
    </row>
    <row r="1856" spans="14:15" x14ac:dyDescent="0.4">
      <c r="N1856" s="59"/>
      <c r="O1856" s="60"/>
    </row>
    <row r="1857" spans="14:15" x14ac:dyDescent="0.4">
      <c r="N1857" s="59"/>
      <c r="O1857" s="60"/>
    </row>
    <row r="1858" spans="14:15" x14ac:dyDescent="0.4">
      <c r="N1858" s="59"/>
      <c r="O1858" s="60"/>
    </row>
    <row r="1859" spans="14:15" x14ac:dyDescent="0.4">
      <c r="N1859" s="59"/>
      <c r="O1859" s="60"/>
    </row>
    <row r="1860" spans="14:15" x14ac:dyDescent="0.4">
      <c r="N1860" s="59"/>
      <c r="O1860" s="60"/>
    </row>
    <row r="1861" spans="14:15" x14ac:dyDescent="0.4">
      <c r="N1861" s="59"/>
      <c r="O1861" s="60"/>
    </row>
    <row r="1862" spans="14:15" x14ac:dyDescent="0.4">
      <c r="N1862" s="59"/>
      <c r="O1862" s="60"/>
    </row>
    <row r="1863" spans="14:15" x14ac:dyDescent="0.4">
      <c r="N1863" s="59"/>
      <c r="O1863" s="60"/>
    </row>
    <row r="1864" spans="14:15" x14ac:dyDescent="0.4">
      <c r="N1864" s="59"/>
      <c r="O1864" s="60"/>
    </row>
    <row r="1865" spans="14:15" x14ac:dyDescent="0.4">
      <c r="N1865" s="59"/>
      <c r="O1865" s="60"/>
    </row>
    <row r="1866" spans="14:15" x14ac:dyDescent="0.4">
      <c r="N1866" s="59"/>
      <c r="O1866" s="60"/>
    </row>
    <row r="1867" spans="14:15" x14ac:dyDescent="0.4">
      <c r="N1867" s="59"/>
      <c r="O1867" s="60"/>
    </row>
    <row r="1868" spans="14:15" x14ac:dyDescent="0.4">
      <c r="N1868" s="59"/>
      <c r="O1868" s="60"/>
    </row>
    <row r="1869" spans="14:15" x14ac:dyDescent="0.4">
      <c r="N1869" s="59"/>
      <c r="O1869" s="60"/>
    </row>
    <row r="1870" spans="14:15" x14ac:dyDescent="0.4">
      <c r="N1870" s="59"/>
      <c r="O1870" s="60"/>
    </row>
    <row r="1871" spans="14:15" x14ac:dyDescent="0.4">
      <c r="N1871" s="59"/>
      <c r="O1871" s="60"/>
    </row>
    <row r="1872" spans="14:15" x14ac:dyDescent="0.4">
      <c r="N1872" s="59"/>
      <c r="O1872" s="60"/>
    </row>
    <row r="1873" spans="14:15" x14ac:dyDescent="0.4">
      <c r="N1873" s="59"/>
      <c r="O1873" s="60"/>
    </row>
    <row r="1874" spans="14:15" x14ac:dyDescent="0.4">
      <c r="N1874" s="59"/>
      <c r="O1874" s="60"/>
    </row>
    <row r="1875" spans="14:15" x14ac:dyDescent="0.4">
      <c r="N1875" s="59"/>
      <c r="O1875" s="60"/>
    </row>
    <row r="1876" spans="14:15" x14ac:dyDescent="0.4">
      <c r="N1876" s="59"/>
      <c r="O1876" s="60"/>
    </row>
    <row r="1877" spans="14:15" x14ac:dyDescent="0.4">
      <c r="N1877" s="59"/>
      <c r="O1877" s="60"/>
    </row>
    <row r="1878" spans="14:15" x14ac:dyDescent="0.4">
      <c r="N1878" s="59"/>
      <c r="O1878" s="60"/>
    </row>
    <row r="1879" spans="14:15" x14ac:dyDescent="0.4">
      <c r="N1879" s="59"/>
      <c r="O1879" s="60"/>
    </row>
    <row r="1880" spans="14:15" x14ac:dyDescent="0.4">
      <c r="N1880" s="59"/>
      <c r="O1880" s="60"/>
    </row>
    <row r="1881" spans="14:15" x14ac:dyDescent="0.4">
      <c r="N1881" s="59"/>
      <c r="O1881" s="60"/>
    </row>
    <row r="1882" spans="14:15" x14ac:dyDescent="0.4">
      <c r="N1882" s="59"/>
      <c r="O1882" s="60"/>
    </row>
    <row r="1883" spans="14:15" x14ac:dyDescent="0.4">
      <c r="N1883" s="59"/>
      <c r="O1883" s="60"/>
    </row>
    <row r="1884" spans="14:15" x14ac:dyDescent="0.4">
      <c r="N1884" s="59"/>
      <c r="O1884" s="60"/>
    </row>
    <row r="1885" spans="14:15" x14ac:dyDescent="0.4">
      <c r="N1885" s="59"/>
      <c r="O1885" s="60"/>
    </row>
    <row r="1886" spans="14:15" x14ac:dyDescent="0.4">
      <c r="N1886" s="59"/>
      <c r="O1886" s="60"/>
    </row>
    <row r="1887" spans="14:15" x14ac:dyDescent="0.4">
      <c r="N1887" s="59"/>
      <c r="O1887" s="60"/>
    </row>
    <row r="1888" spans="14:15" x14ac:dyDescent="0.4">
      <c r="N1888" s="59"/>
      <c r="O1888" s="60"/>
    </row>
    <row r="1889" spans="14:15" x14ac:dyDescent="0.4">
      <c r="N1889" s="59"/>
      <c r="O1889" s="60"/>
    </row>
    <row r="1890" spans="14:15" x14ac:dyDescent="0.4">
      <c r="N1890" s="59"/>
      <c r="O1890" s="60"/>
    </row>
    <row r="1891" spans="14:15" x14ac:dyDescent="0.4">
      <c r="N1891" s="59"/>
      <c r="O1891" s="60"/>
    </row>
    <row r="1892" spans="14:15" x14ac:dyDescent="0.4">
      <c r="N1892" s="59"/>
      <c r="O1892" s="60"/>
    </row>
    <row r="1893" spans="14:15" x14ac:dyDescent="0.4">
      <c r="N1893" s="59"/>
      <c r="O1893" s="60"/>
    </row>
    <row r="1894" spans="14:15" x14ac:dyDescent="0.4">
      <c r="N1894" s="59"/>
      <c r="O1894" s="60"/>
    </row>
    <row r="1895" spans="14:15" x14ac:dyDescent="0.4">
      <c r="N1895" s="59"/>
      <c r="O1895" s="60"/>
    </row>
    <row r="1896" spans="14:15" x14ac:dyDescent="0.4">
      <c r="N1896" s="59"/>
      <c r="O1896" s="60"/>
    </row>
    <row r="1897" spans="14:15" x14ac:dyDescent="0.4">
      <c r="N1897" s="59"/>
      <c r="O1897" s="60"/>
    </row>
    <row r="1898" spans="14:15" x14ac:dyDescent="0.4">
      <c r="N1898" s="59"/>
      <c r="O1898" s="60"/>
    </row>
    <row r="1899" spans="14:15" x14ac:dyDescent="0.4">
      <c r="N1899" s="59"/>
      <c r="O1899" s="60"/>
    </row>
    <row r="1900" spans="14:15" x14ac:dyDescent="0.4">
      <c r="N1900" s="59"/>
      <c r="O1900" s="60"/>
    </row>
    <row r="1901" spans="14:15" x14ac:dyDescent="0.4">
      <c r="N1901" s="59"/>
      <c r="O1901" s="60"/>
    </row>
    <row r="1902" spans="14:15" x14ac:dyDescent="0.4">
      <c r="N1902" s="59"/>
      <c r="O1902" s="60"/>
    </row>
    <row r="1903" spans="14:15" x14ac:dyDescent="0.4">
      <c r="N1903" s="59"/>
      <c r="O1903" s="60"/>
    </row>
    <row r="1904" spans="14:15" x14ac:dyDescent="0.4">
      <c r="N1904" s="59"/>
      <c r="O1904" s="60"/>
    </row>
    <row r="1905" spans="14:15" x14ac:dyDescent="0.4">
      <c r="N1905" s="59"/>
      <c r="O1905" s="60"/>
    </row>
    <row r="1906" spans="14:15" x14ac:dyDescent="0.4">
      <c r="N1906" s="59"/>
      <c r="O1906" s="60"/>
    </row>
    <row r="1907" spans="14:15" x14ac:dyDescent="0.4">
      <c r="N1907" s="59"/>
      <c r="O1907" s="60"/>
    </row>
    <row r="1908" spans="14:15" x14ac:dyDescent="0.4">
      <c r="N1908" s="59"/>
      <c r="O1908" s="60"/>
    </row>
    <row r="1909" spans="14:15" x14ac:dyDescent="0.4">
      <c r="N1909" s="59"/>
      <c r="O1909" s="60"/>
    </row>
    <row r="1910" spans="14:15" x14ac:dyDescent="0.4">
      <c r="N1910" s="59"/>
      <c r="O1910" s="60"/>
    </row>
    <row r="1911" spans="14:15" x14ac:dyDescent="0.4">
      <c r="N1911" s="59"/>
      <c r="O1911" s="60"/>
    </row>
    <row r="1912" spans="14:15" x14ac:dyDescent="0.4">
      <c r="N1912" s="59"/>
      <c r="O1912" s="60"/>
    </row>
    <row r="1913" spans="14:15" x14ac:dyDescent="0.4">
      <c r="N1913" s="59"/>
      <c r="O1913" s="60"/>
    </row>
    <row r="1914" spans="14:15" x14ac:dyDescent="0.4">
      <c r="N1914" s="59"/>
      <c r="O1914" s="60"/>
    </row>
    <row r="1915" spans="14:15" x14ac:dyDescent="0.4">
      <c r="N1915" s="59"/>
      <c r="O1915" s="60"/>
    </row>
    <row r="1916" spans="14:15" x14ac:dyDescent="0.4">
      <c r="N1916" s="59"/>
      <c r="O1916" s="60"/>
    </row>
    <row r="1917" spans="14:15" x14ac:dyDescent="0.4">
      <c r="N1917" s="59"/>
      <c r="O1917" s="60"/>
    </row>
    <row r="1918" spans="14:15" x14ac:dyDescent="0.4">
      <c r="N1918" s="59"/>
      <c r="O1918" s="60"/>
    </row>
    <row r="1919" spans="14:15" x14ac:dyDescent="0.4">
      <c r="N1919" s="59"/>
      <c r="O1919" s="60"/>
    </row>
    <row r="1920" spans="14:15" x14ac:dyDescent="0.4">
      <c r="N1920" s="59"/>
      <c r="O1920" s="60"/>
    </row>
    <row r="1921" spans="14:15" x14ac:dyDescent="0.4">
      <c r="N1921" s="59"/>
      <c r="O1921" s="60"/>
    </row>
    <row r="1922" spans="14:15" x14ac:dyDescent="0.4">
      <c r="N1922" s="59"/>
      <c r="O1922" s="60"/>
    </row>
    <row r="1923" spans="14:15" x14ac:dyDescent="0.4">
      <c r="N1923" s="59"/>
      <c r="O1923" s="60"/>
    </row>
    <row r="1924" spans="14:15" x14ac:dyDescent="0.4">
      <c r="N1924" s="59"/>
      <c r="O1924" s="60"/>
    </row>
    <row r="1925" spans="14:15" x14ac:dyDescent="0.4">
      <c r="N1925" s="59"/>
      <c r="O1925" s="60"/>
    </row>
    <row r="1926" spans="14:15" x14ac:dyDescent="0.4">
      <c r="N1926" s="59"/>
      <c r="O1926" s="60"/>
    </row>
    <row r="1927" spans="14:15" x14ac:dyDescent="0.4">
      <c r="N1927" s="59"/>
      <c r="O1927" s="60"/>
    </row>
    <row r="1928" spans="14:15" x14ac:dyDescent="0.4">
      <c r="N1928" s="59"/>
      <c r="O1928" s="60"/>
    </row>
    <row r="1929" spans="14:15" x14ac:dyDescent="0.4">
      <c r="N1929" s="59"/>
      <c r="O1929" s="60"/>
    </row>
    <row r="1930" spans="14:15" x14ac:dyDescent="0.4">
      <c r="N1930" s="59"/>
      <c r="O1930" s="60"/>
    </row>
    <row r="1931" spans="14:15" x14ac:dyDescent="0.4">
      <c r="N1931" s="59"/>
      <c r="O1931" s="60"/>
    </row>
    <row r="1932" spans="14:15" x14ac:dyDescent="0.4">
      <c r="N1932" s="59"/>
      <c r="O1932" s="60"/>
    </row>
    <row r="1933" spans="14:15" x14ac:dyDescent="0.4">
      <c r="N1933" s="59"/>
      <c r="O1933" s="60"/>
    </row>
    <row r="1934" spans="14:15" x14ac:dyDescent="0.4">
      <c r="N1934" s="59"/>
      <c r="O1934" s="60"/>
    </row>
    <row r="1935" spans="14:15" x14ac:dyDescent="0.4">
      <c r="N1935" s="59"/>
      <c r="O1935" s="60"/>
    </row>
    <row r="1936" spans="14:15" x14ac:dyDescent="0.4">
      <c r="N1936" s="59"/>
      <c r="O1936" s="60"/>
    </row>
    <row r="1937" spans="14:15" x14ac:dyDescent="0.4">
      <c r="N1937" s="59"/>
      <c r="O1937" s="60"/>
    </row>
    <row r="1938" spans="14:15" x14ac:dyDescent="0.4">
      <c r="N1938" s="59"/>
      <c r="O1938" s="60"/>
    </row>
    <row r="1939" spans="14:15" x14ac:dyDescent="0.4">
      <c r="N1939" s="59"/>
      <c r="O1939" s="60"/>
    </row>
    <row r="1940" spans="14:15" x14ac:dyDescent="0.4">
      <c r="N1940" s="59"/>
      <c r="O1940" s="60"/>
    </row>
    <row r="1941" spans="14:15" x14ac:dyDescent="0.4">
      <c r="N1941" s="59"/>
      <c r="O1941" s="60"/>
    </row>
    <row r="1942" spans="14:15" x14ac:dyDescent="0.4">
      <c r="N1942" s="59"/>
      <c r="O1942" s="60"/>
    </row>
    <row r="1943" spans="14:15" x14ac:dyDescent="0.4">
      <c r="N1943" s="59"/>
      <c r="O1943" s="60"/>
    </row>
    <row r="1944" spans="14:15" x14ac:dyDescent="0.4">
      <c r="N1944" s="59"/>
      <c r="O1944" s="60"/>
    </row>
    <row r="1945" spans="14:15" x14ac:dyDescent="0.4">
      <c r="N1945" s="59"/>
      <c r="O1945" s="60"/>
    </row>
    <row r="1946" spans="14:15" x14ac:dyDescent="0.4">
      <c r="N1946" s="59"/>
      <c r="O1946" s="60"/>
    </row>
    <row r="1947" spans="14:15" x14ac:dyDescent="0.4">
      <c r="N1947" s="59"/>
      <c r="O1947" s="60"/>
    </row>
    <row r="1948" spans="14:15" x14ac:dyDescent="0.4">
      <c r="N1948" s="59"/>
      <c r="O1948" s="60"/>
    </row>
    <row r="1949" spans="14:15" x14ac:dyDescent="0.4">
      <c r="N1949" s="59"/>
      <c r="O1949" s="60"/>
    </row>
    <row r="1950" spans="14:15" x14ac:dyDescent="0.4">
      <c r="N1950" s="59"/>
      <c r="O1950" s="60"/>
    </row>
    <row r="1951" spans="14:15" x14ac:dyDescent="0.4">
      <c r="N1951" s="59"/>
      <c r="O1951" s="60"/>
    </row>
    <row r="1952" spans="14:15" x14ac:dyDescent="0.4">
      <c r="N1952" s="59"/>
      <c r="O1952" s="60"/>
    </row>
    <row r="1953" spans="14:15" x14ac:dyDescent="0.4">
      <c r="N1953" s="59"/>
      <c r="O1953" s="60"/>
    </row>
    <row r="1954" spans="14:15" x14ac:dyDescent="0.4">
      <c r="N1954" s="59"/>
      <c r="O1954" s="60"/>
    </row>
    <row r="1955" spans="14:15" x14ac:dyDescent="0.4">
      <c r="N1955" s="59"/>
      <c r="O1955" s="60"/>
    </row>
    <row r="1956" spans="14:15" x14ac:dyDescent="0.4">
      <c r="N1956" s="59"/>
      <c r="O1956" s="60"/>
    </row>
    <row r="1957" spans="14:15" x14ac:dyDescent="0.4">
      <c r="N1957" s="59"/>
      <c r="O1957" s="60"/>
    </row>
    <row r="1958" spans="14:15" x14ac:dyDescent="0.4">
      <c r="N1958" s="59"/>
      <c r="O1958" s="60"/>
    </row>
    <row r="1959" spans="14:15" x14ac:dyDescent="0.4">
      <c r="N1959" s="59"/>
      <c r="O1959" s="60"/>
    </row>
    <row r="1960" spans="14:15" x14ac:dyDescent="0.4">
      <c r="N1960" s="59"/>
      <c r="O1960" s="60"/>
    </row>
    <row r="1961" spans="14:15" x14ac:dyDescent="0.4">
      <c r="N1961" s="59"/>
      <c r="O1961" s="60"/>
    </row>
    <row r="1962" spans="14:15" x14ac:dyDescent="0.4">
      <c r="N1962" s="59"/>
      <c r="O1962" s="60"/>
    </row>
    <row r="1963" spans="14:15" x14ac:dyDescent="0.4">
      <c r="N1963" s="59"/>
      <c r="O1963" s="60"/>
    </row>
    <row r="1964" spans="14:15" x14ac:dyDescent="0.4">
      <c r="N1964" s="59"/>
      <c r="O1964" s="60"/>
    </row>
    <row r="1965" spans="14:15" x14ac:dyDescent="0.4">
      <c r="N1965" s="59"/>
      <c r="O1965" s="60"/>
    </row>
    <row r="1966" spans="14:15" x14ac:dyDescent="0.4">
      <c r="N1966" s="59"/>
      <c r="O1966" s="60"/>
    </row>
    <row r="1967" spans="14:15" x14ac:dyDescent="0.4">
      <c r="N1967" s="59"/>
      <c r="O1967" s="60"/>
    </row>
    <row r="1968" spans="14:15" x14ac:dyDescent="0.4">
      <c r="N1968" s="59"/>
      <c r="O1968" s="60"/>
    </row>
    <row r="1969" spans="14:15" x14ac:dyDescent="0.4">
      <c r="N1969" s="59"/>
      <c r="O1969" s="60"/>
    </row>
    <row r="1970" spans="14:15" x14ac:dyDescent="0.4">
      <c r="N1970" s="59"/>
      <c r="O1970" s="60"/>
    </row>
    <row r="1971" spans="14:15" x14ac:dyDescent="0.4">
      <c r="N1971" s="59"/>
      <c r="O1971" s="60"/>
    </row>
    <row r="1972" spans="14:15" x14ac:dyDescent="0.4">
      <c r="N1972" s="59"/>
      <c r="O1972" s="60"/>
    </row>
    <row r="1973" spans="14:15" x14ac:dyDescent="0.4">
      <c r="N1973" s="59"/>
      <c r="O1973" s="60"/>
    </row>
    <row r="1974" spans="14:15" x14ac:dyDescent="0.4">
      <c r="N1974" s="59"/>
      <c r="O1974" s="60"/>
    </row>
    <row r="1975" spans="14:15" x14ac:dyDescent="0.4">
      <c r="N1975" s="59"/>
      <c r="O1975" s="60"/>
    </row>
    <row r="1976" spans="14:15" x14ac:dyDescent="0.4">
      <c r="N1976" s="59"/>
      <c r="O1976" s="60"/>
    </row>
    <row r="1977" spans="14:15" x14ac:dyDescent="0.4">
      <c r="N1977" s="59"/>
      <c r="O1977" s="60"/>
    </row>
    <row r="1978" spans="14:15" x14ac:dyDescent="0.4">
      <c r="N1978" s="59"/>
      <c r="O1978" s="60"/>
    </row>
    <row r="1979" spans="14:15" x14ac:dyDescent="0.4">
      <c r="N1979" s="59"/>
      <c r="O1979" s="60"/>
    </row>
    <row r="1980" spans="14:15" x14ac:dyDescent="0.4">
      <c r="N1980" s="59"/>
      <c r="O1980" s="60"/>
    </row>
    <row r="1981" spans="14:15" x14ac:dyDescent="0.4">
      <c r="N1981" s="59"/>
      <c r="O1981" s="60"/>
    </row>
    <row r="1982" spans="14:15" x14ac:dyDescent="0.4">
      <c r="N1982" s="59"/>
      <c r="O1982" s="60"/>
    </row>
    <row r="1983" spans="14:15" x14ac:dyDescent="0.4">
      <c r="N1983" s="59"/>
      <c r="O1983" s="60"/>
    </row>
    <row r="1984" spans="14:15" x14ac:dyDescent="0.4">
      <c r="N1984" s="59"/>
      <c r="O1984" s="60"/>
    </row>
    <row r="1985" spans="14:15" x14ac:dyDescent="0.4">
      <c r="N1985" s="59"/>
      <c r="O1985" s="60"/>
    </row>
    <row r="1986" spans="14:15" x14ac:dyDescent="0.4">
      <c r="N1986" s="59"/>
      <c r="O1986" s="60"/>
    </row>
    <row r="1987" spans="14:15" x14ac:dyDescent="0.4">
      <c r="N1987" s="59"/>
      <c r="O1987" s="60"/>
    </row>
    <row r="1988" spans="14:15" x14ac:dyDescent="0.4">
      <c r="N1988" s="59"/>
      <c r="O1988" s="60"/>
    </row>
    <row r="1989" spans="14:15" x14ac:dyDescent="0.4">
      <c r="N1989" s="59"/>
      <c r="O1989" s="60"/>
    </row>
    <row r="1990" spans="14:15" x14ac:dyDescent="0.4">
      <c r="N1990" s="59"/>
      <c r="O1990" s="60"/>
    </row>
    <row r="1991" spans="14:15" x14ac:dyDescent="0.4">
      <c r="N1991" s="59"/>
      <c r="O1991" s="60"/>
    </row>
    <row r="1992" spans="14:15" x14ac:dyDescent="0.4">
      <c r="N1992" s="59"/>
      <c r="O1992" s="60"/>
    </row>
    <row r="1993" spans="14:15" x14ac:dyDescent="0.4">
      <c r="N1993" s="59"/>
      <c r="O1993" s="60"/>
    </row>
    <row r="1994" spans="14:15" x14ac:dyDescent="0.4">
      <c r="N1994" s="59"/>
      <c r="O1994" s="60"/>
    </row>
    <row r="1995" spans="14:15" x14ac:dyDescent="0.4">
      <c r="N1995" s="59"/>
      <c r="O1995" s="60"/>
    </row>
    <row r="1996" spans="14:15" x14ac:dyDescent="0.4">
      <c r="N1996" s="59"/>
      <c r="O1996" s="60"/>
    </row>
    <row r="1997" spans="14:15" x14ac:dyDescent="0.4">
      <c r="N1997" s="59"/>
      <c r="O1997" s="60"/>
    </row>
    <row r="1998" spans="14:15" x14ac:dyDescent="0.4">
      <c r="N1998" s="59"/>
      <c r="O1998" s="60"/>
    </row>
    <row r="1999" spans="14:15" x14ac:dyDescent="0.4">
      <c r="N1999" s="59"/>
      <c r="O1999" s="60"/>
    </row>
    <row r="2000" spans="14:15" x14ac:dyDescent="0.4">
      <c r="N2000" s="59"/>
      <c r="O2000" s="60"/>
    </row>
    <row r="2001" spans="14:15" x14ac:dyDescent="0.4">
      <c r="N2001" s="59"/>
      <c r="O2001" s="60"/>
    </row>
    <row r="2002" spans="14:15" x14ac:dyDescent="0.4">
      <c r="N2002" s="59"/>
      <c r="O2002" s="60"/>
    </row>
    <row r="2003" spans="14:15" x14ac:dyDescent="0.4">
      <c r="N2003" s="59"/>
      <c r="O2003" s="60"/>
    </row>
    <row r="2004" spans="14:15" x14ac:dyDescent="0.4">
      <c r="N2004" s="59"/>
      <c r="O2004" s="60"/>
    </row>
    <row r="2005" spans="14:15" x14ac:dyDescent="0.4">
      <c r="N2005" s="59"/>
      <c r="O2005" s="60"/>
    </row>
    <row r="2006" spans="14:15" x14ac:dyDescent="0.4">
      <c r="N2006" s="59"/>
      <c r="O2006" s="60"/>
    </row>
    <row r="2007" spans="14:15" x14ac:dyDescent="0.4">
      <c r="N2007" s="59"/>
      <c r="O2007" s="60"/>
    </row>
    <row r="2008" spans="14:15" x14ac:dyDescent="0.4">
      <c r="N2008" s="59"/>
      <c r="O2008" s="60"/>
    </row>
    <row r="2009" spans="14:15" x14ac:dyDescent="0.4">
      <c r="N2009" s="59"/>
      <c r="O2009" s="60"/>
    </row>
    <row r="2010" spans="14:15" x14ac:dyDescent="0.4">
      <c r="N2010" s="59"/>
      <c r="O2010" s="60"/>
    </row>
    <row r="2011" spans="14:15" x14ac:dyDescent="0.4">
      <c r="N2011" s="59"/>
      <c r="O2011" s="60"/>
    </row>
    <row r="2012" spans="14:15" x14ac:dyDescent="0.4">
      <c r="N2012" s="59"/>
      <c r="O2012" s="60"/>
    </row>
    <row r="2013" spans="14:15" x14ac:dyDescent="0.4">
      <c r="N2013" s="59"/>
      <c r="O2013" s="60"/>
    </row>
    <row r="2014" spans="14:15" x14ac:dyDescent="0.4">
      <c r="N2014" s="59"/>
      <c r="O2014" s="60"/>
    </row>
    <row r="2015" spans="14:15" x14ac:dyDescent="0.4">
      <c r="N2015" s="59"/>
      <c r="O2015" s="60"/>
    </row>
    <row r="2016" spans="14:15" x14ac:dyDescent="0.4">
      <c r="N2016" s="59"/>
      <c r="O2016" s="60"/>
    </row>
    <row r="2017" spans="14:15" x14ac:dyDescent="0.4">
      <c r="N2017" s="59"/>
      <c r="O2017" s="60"/>
    </row>
    <row r="2018" spans="14:15" x14ac:dyDescent="0.4">
      <c r="N2018" s="59"/>
      <c r="O2018" s="60"/>
    </row>
    <row r="2019" spans="14:15" x14ac:dyDescent="0.4">
      <c r="N2019" s="59"/>
      <c r="O2019" s="60"/>
    </row>
    <row r="2020" spans="14:15" x14ac:dyDescent="0.4">
      <c r="N2020" s="59"/>
      <c r="O2020" s="60"/>
    </row>
    <row r="2021" spans="14:15" x14ac:dyDescent="0.4">
      <c r="N2021" s="59"/>
      <c r="O2021" s="60"/>
    </row>
    <row r="2022" spans="14:15" x14ac:dyDescent="0.4">
      <c r="N2022" s="59"/>
      <c r="O2022" s="60"/>
    </row>
    <row r="2023" spans="14:15" x14ac:dyDescent="0.4">
      <c r="N2023" s="59"/>
      <c r="O2023" s="60"/>
    </row>
    <row r="2024" spans="14:15" x14ac:dyDescent="0.4">
      <c r="N2024" s="59"/>
      <c r="O2024" s="60"/>
    </row>
    <row r="2025" spans="14:15" x14ac:dyDescent="0.4">
      <c r="N2025" s="59"/>
      <c r="O2025" s="60"/>
    </row>
    <row r="2026" spans="14:15" x14ac:dyDescent="0.4">
      <c r="N2026" s="59"/>
      <c r="O2026" s="60"/>
    </row>
    <row r="2027" spans="14:15" x14ac:dyDescent="0.4">
      <c r="N2027" s="59"/>
      <c r="O2027" s="60"/>
    </row>
    <row r="2028" spans="14:15" x14ac:dyDescent="0.4">
      <c r="N2028" s="59"/>
      <c r="O2028" s="60"/>
    </row>
    <row r="2029" spans="14:15" x14ac:dyDescent="0.4">
      <c r="N2029" s="59"/>
      <c r="O2029" s="60"/>
    </row>
    <row r="2030" spans="14:15" x14ac:dyDescent="0.4">
      <c r="N2030" s="59"/>
      <c r="O2030" s="60"/>
    </row>
    <row r="2031" spans="14:15" x14ac:dyDescent="0.4">
      <c r="N2031" s="59"/>
      <c r="O2031" s="60"/>
    </row>
    <row r="2032" spans="14:15" x14ac:dyDescent="0.4">
      <c r="N2032" s="59"/>
      <c r="O2032" s="60"/>
    </row>
    <row r="2033" spans="14:15" x14ac:dyDescent="0.4">
      <c r="N2033" s="59"/>
      <c r="O2033" s="60"/>
    </row>
    <row r="2034" spans="14:15" x14ac:dyDescent="0.4">
      <c r="N2034" s="59"/>
      <c r="O2034" s="60"/>
    </row>
    <row r="2035" spans="14:15" x14ac:dyDescent="0.4">
      <c r="N2035" s="59"/>
      <c r="O2035" s="60"/>
    </row>
    <row r="2036" spans="14:15" x14ac:dyDescent="0.4">
      <c r="N2036" s="59"/>
      <c r="O2036" s="60"/>
    </row>
    <row r="2037" spans="14:15" x14ac:dyDescent="0.4">
      <c r="N2037" s="59"/>
      <c r="O2037" s="60"/>
    </row>
    <row r="2038" spans="14:15" x14ac:dyDescent="0.4">
      <c r="N2038" s="59"/>
      <c r="O2038" s="60"/>
    </row>
    <row r="2039" spans="14:15" x14ac:dyDescent="0.4">
      <c r="N2039" s="59"/>
      <c r="O2039" s="60"/>
    </row>
    <row r="2040" spans="14:15" x14ac:dyDescent="0.4">
      <c r="N2040" s="59"/>
      <c r="O2040" s="60"/>
    </row>
    <row r="2041" spans="14:15" x14ac:dyDescent="0.4">
      <c r="N2041" s="59"/>
      <c r="O2041" s="60"/>
    </row>
    <row r="2042" spans="14:15" x14ac:dyDescent="0.4">
      <c r="N2042" s="59"/>
      <c r="O2042" s="60"/>
    </row>
    <row r="2043" spans="14:15" x14ac:dyDescent="0.4">
      <c r="N2043" s="59"/>
      <c r="O2043" s="60"/>
    </row>
    <row r="2044" spans="14:15" x14ac:dyDescent="0.4">
      <c r="N2044" s="59"/>
      <c r="O2044" s="60"/>
    </row>
    <row r="2045" spans="14:15" x14ac:dyDescent="0.4">
      <c r="N2045" s="59"/>
      <c r="O2045" s="60"/>
    </row>
    <row r="2046" spans="14:15" x14ac:dyDescent="0.4">
      <c r="N2046" s="59"/>
      <c r="O2046" s="60"/>
    </row>
    <row r="2047" spans="14:15" x14ac:dyDescent="0.4">
      <c r="N2047" s="59"/>
      <c r="O2047" s="60"/>
    </row>
    <row r="2048" spans="14:15" x14ac:dyDescent="0.4">
      <c r="N2048" s="59"/>
      <c r="O2048" s="60"/>
    </row>
    <row r="2049" spans="14:15" x14ac:dyDescent="0.4">
      <c r="N2049" s="59"/>
      <c r="O2049" s="60"/>
    </row>
    <row r="2050" spans="14:15" x14ac:dyDescent="0.4">
      <c r="N2050" s="59"/>
      <c r="O2050" s="60"/>
    </row>
    <row r="2051" spans="14:15" x14ac:dyDescent="0.4">
      <c r="N2051" s="59"/>
      <c r="O2051" s="60"/>
    </row>
    <row r="2052" spans="14:15" x14ac:dyDescent="0.4">
      <c r="N2052" s="59"/>
      <c r="O2052" s="60"/>
    </row>
    <row r="2053" spans="14:15" x14ac:dyDescent="0.4">
      <c r="N2053" s="59"/>
      <c r="O2053" s="60"/>
    </row>
    <row r="2054" spans="14:15" x14ac:dyDescent="0.4">
      <c r="N2054" s="59"/>
      <c r="O2054" s="60"/>
    </row>
    <row r="2055" spans="14:15" x14ac:dyDescent="0.4">
      <c r="N2055" s="59"/>
      <c r="O2055" s="60"/>
    </row>
    <row r="2056" spans="14:15" x14ac:dyDescent="0.4">
      <c r="N2056" s="59"/>
      <c r="O2056" s="60"/>
    </row>
    <row r="2057" spans="14:15" x14ac:dyDescent="0.4">
      <c r="N2057" s="59"/>
      <c r="O2057" s="60"/>
    </row>
    <row r="2058" spans="14:15" x14ac:dyDescent="0.4">
      <c r="N2058" s="59"/>
      <c r="O2058" s="60"/>
    </row>
    <row r="2059" spans="14:15" x14ac:dyDescent="0.4">
      <c r="N2059" s="59"/>
      <c r="O2059" s="60"/>
    </row>
    <row r="2060" spans="14:15" x14ac:dyDescent="0.4">
      <c r="N2060" s="59"/>
      <c r="O2060" s="60"/>
    </row>
    <row r="2061" spans="14:15" x14ac:dyDescent="0.4">
      <c r="N2061" s="59"/>
      <c r="O2061" s="60"/>
    </row>
    <row r="2062" spans="14:15" x14ac:dyDescent="0.4">
      <c r="N2062" s="59"/>
      <c r="O2062" s="60"/>
    </row>
    <row r="2063" spans="14:15" x14ac:dyDescent="0.4">
      <c r="N2063" s="59"/>
      <c r="O2063" s="60"/>
    </row>
    <row r="2064" spans="14:15" x14ac:dyDescent="0.4">
      <c r="N2064" s="59"/>
      <c r="O2064" s="60"/>
    </row>
    <row r="2065" spans="14:15" x14ac:dyDescent="0.4">
      <c r="N2065" s="59"/>
      <c r="O2065" s="60"/>
    </row>
    <row r="2066" spans="14:15" x14ac:dyDescent="0.4">
      <c r="N2066" s="59"/>
      <c r="O2066" s="60"/>
    </row>
    <row r="2067" spans="14:15" x14ac:dyDescent="0.4">
      <c r="N2067" s="59"/>
      <c r="O2067" s="60"/>
    </row>
    <row r="2068" spans="14:15" x14ac:dyDescent="0.4">
      <c r="N2068" s="59"/>
      <c r="O2068" s="60"/>
    </row>
    <row r="2069" spans="14:15" x14ac:dyDescent="0.4">
      <c r="N2069" s="59"/>
      <c r="O2069" s="60"/>
    </row>
    <row r="2070" spans="14:15" x14ac:dyDescent="0.4">
      <c r="N2070" s="59"/>
      <c r="O2070" s="60"/>
    </row>
    <row r="2071" spans="14:15" x14ac:dyDescent="0.4">
      <c r="N2071" s="59"/>
      <c r="O2071" s="60"/>
    </row>
    <row r="2072" spans="14:15" x14ac:dyDescent="0.4">
      <c r="N2072" s="59"/>
      <c r="O2072" s="60"/>
    </row>
    <row r="2073" spans="14:15" x14ac:dyDescent="0.4">
      <c r="N2073" s="59"/>
      <c r="O2073" s="60"/>
    </row>
    <row r="2074" spans="14:15" x14ac:dyDescent="0.4">
      <c r="N2074" s="59"/>
      <c r="O2074" s="60"/>
    </row>
    <row r="2075" spans="14:15" x14ac:dyDescent="0.4">
      <c r="N2075" s="59"/>
      <c r="O2075" s="60"/>
    </row>
    <row r="2076" spans="14:15" x14ac:dyDescent="0.4">
      <c r="N2076" s="59"/>
      <c r="O2076" s="60"/>
    </row>
    <row r="2077" spans="14:15" x14ac:dyDescent="0.4">
      <c r="N2077" s="59"/>
      <c r="O2077" s="60"/>
    </row>
    <row r="2078" spans="14:15" x14ac:dyDescent="0.4">
      <c r="N2078" s="59"/>
      <c r="O2078" s="60"/>
    </row>
    <row r="2079" spans="14:15" x14ac:dyDescent="0.4">
      <c r="N2079" s="59"/>
      <c r="O2079" s="60"/>
    </row>
    <row r="2080" spans="14:15" x14ac:dyDescent="0.4">
      <c r="N2080" s="59"/>
      <c r="O2080" s="60"/>
    </row>
    <row r="2081" spans="14:15" x14ac:dyDescent="0.4">
      <c r="N2081" s="59"/>
      <c r="O2081" s="60"/>
    </row>
    <row r="2082" spans="14:15" x14ac:dyDescent="0.4">
      <c r="N2082" s="59"/>
      <c r="O2082" s="60"/>
    </row>
    <row r="2083" spans="14:15" x14ac:dyDescent="0.4">
      <c r="N2083" s="59"/>
      <c r="O2083" s="60"/>
    </row>
    <row r="2084" spans="14:15" x14ac:dyDescent="0.4">
      <c r="N2084" s="59"/>
      <c r="O2084" s="60"/>
    </row>
    <row r="2085" spans="14:15" x14ac:dyDescent="0.4">
      <c r="N2085" s="59"/>
      <c r="O2085" s="60"/>
    </row>
    <row r="2086" spans="14:15" x14ac:dyDescent="0.4">
      <c r="N2086" s="59"/>
      <c r="O2086" s="60"/>
    </row>
    <row r="2087" spans="14:15" x14ac:dyDescent="0.4">
      <c r="N2087" s="59"/>
      <c r="O2087" s="60"/>
    </row>
    <row r="2088" spans="14:15" x14ac:dyDescent="0.4">
      <c r="N2088" s="59"/>
      <c r="O2088" s="60"/>
    </row>
    <row r="2089" spans="14:15" x14ac:dyDescent="0.4">
      <c r="N2089" s="59"/>
      <c r="O2089" s="60"/>
    </row>
    <row r="2090" spans="14:15" x14ac:dyDescent="0.4">
      <c r="N2090" s="59"/>
      <c r="O2090" s="60"/>
    </row>
    <row r="2091" spans="14:15" x14ac:dyDescent="0.4">
      <c r="N2091" s="59"/>
      <c r="O2091" s="60"/>
    </row>
    <row r="2092" spans="14:15" x14ac:dyDescent="0.4">
      <c r="N2092" s="59"/>
      <c r="O2092" s="60"/>
    </row>
    <row r="2093" spans="14:15" x14ac:dyDescent="0.4">
      <c r="N2093" s="59"/>
      <c r="O2093" s="60"/>
    </row>
    <row r="2094" spans="14:15" x14ac:dyDescent="0.4">
      <c r="N2094" s="59"/>
      <c r="O2094" s="60"/>
    </row>
    <row r="2095" spans="14:15" x14ac:dyDescent="0.4">
      <c r="N2095" s="59"/>
      <c r="O2095" s="60"/>
    </row>
    <row r="2096" spans="14:15" x14ac:dyDescent="0.4">
      <c r="N2096" s="59"/>
      <c r="O2096" s="60"/>
    </row>
    <row r="2097" spans="14:15" x14ac:dyDescent="0.4">
      <c r="N2097" s="59"/>
      <c r="O2097" s="60"/>
    </row>
    <row r="2098" spans="14:15" x14ac:dyDescent="0.4">
      <c r="N2098" s="59"/>
      <c r="O2098" s="60"/>
    </row>
    <row r="2099" spans="14:15" x14ac:dyDescent="0.4">
      <c r="N2099" s="59"/>
      <c r="O2099" s="60"/>
    </row>
    <row r="2100" spans="14:15" x14ac:dyDescent="0.4">
      <c r="N2100" s="59"/>
      <c r="O2100" s="60"/>
    </row>
    <row r="2101" spans="14:15" x14ac:dyDescent="0.4">
      <c r="N2101" s="59"/>
      <c r="O2101" s="60"/>
    </row>
    <row r="2102" spans="14:15" x14ac:dyDescent="0.4">
      <c r="N2102" s="59"/>
      <c r="O2102" s="60"/>
    </row>
    <row r="2103" spans="14:15" x14ac:dyDescent="0.4">
      <c r="N2103" s="59"/>
      <c r="O2103" s="60"/>
    </row>
    <row r="2104" spans="14:15" x14ac:dyDescent="0.4">
      <c r="N2104" s="59"/>
      <c r="O2104" s="60"/>
    </row>
    <row r="2105" spans="14:15" x14ac:dyDescent="0.4">
      <c r="N2105" s="59"/>
      <c r="O2105" s="60"/>
    </row>
    <row r="2106" spans="14:15" x14ac:dyDescent="0.4">
      <c r="N2106" s="59"/>
      <c r="O2106" s="60"/>
    </row>
    <row r="2107" spans="14:15" x14ac:dyDescent="0.4">
      <c r="N2107" s="59"/>
      <c r="O2107" s="60"/>
    </row>
    <row r="2108" spans="14:15" x14ac:dyDescent="0.4">
      <c r="N2108" s="59"/>
      <c r="O2108" s="60"/>
    </row>
    <row r="2109" spans="14:15" x14ac:dyDescent="0.4">
      <c r="N2109" s="59"/>
      <c r="O2109" s="60"/>
    </row>
    <row r="2110" spans="14:15" x14ac:dyDescent="0.4">
      <c r="N2110" s="59"/>
      <c r="O2110" s="60"/>
    </row>
    <row r="2111" spans="14:15" x14ac:dyDescent="0.4">
      <c r="N2111" s="59"/>
      <c r="O2111" s="60"/>
    </row>
    <row r="2112" spans="14:15" x14ac:dyDescent="0.4">
      <c r="N2112" s="59"/>
      <c r="O2112" s="60"/>
    </row>
    <row r="2113" spans="14:15" x14ac:dyDescent="0.4">
      <c r="N2113" s="59"/>
      <c r="O2113" s="60"/>
    </row>
    <row r="2114" spans="14:15" x14ac:dyDescent="0.4">
      <c r="N2114" s="59"/>
      <c r="O2114" s="60"/>
    </row>
    <row r="2115" spans="14:15" x14ac:dyDescent="0.4">
      <c r="N2115" s="59"/>
      <c r="O2115" s="60"/>
    </row>
    <row r="2116" spans="14:15" x14ac:dyDescent="0.4">
      <c r="N2116" s="59"/>
      <c r="O2116" s="60"/>
    </row>
    <row r="2117" spans="14:15" x14ac:dyDescent="0.4">
      <c r="N2117" s="59"/>
      <c r="O2117" s="60"/>
    </row>
    <row r="2118" spans="14:15" x14ac:dyDescent="0.4">
      <c r="N2118" s="59"/>
      <c r="O2118" s="60"/>
    </row>
    <row r="2119" spans="14:15" x14ac:dyDescent="0.4">
      <c r="N2119" s="59"/>
      <c r="O2119" s="60"/>
    </row>
    <row r="2120" spans="14:15" x14ac:dyDescent="0.4">
      <c r="N2120" s="59"/>
      <c r="O2120" s="60"/>
    </row>
    <row r="2121" spans="14:15" x14ac:dyDescent="0.4">
      <c r="N2121" s="59"/>
      <c r="O2121" s="60"/>
    </row>
    <row r="2122" spans="14:15" x14ac:dyDescent="0.4">
      <c r="N2122" s="59"/>
      <c r="O2122" s="60"/>
    </row>
    <row r="2123" spans="14:15" x14ac:dyDescent="0.4">
      <c r="N2123" s="59"/>
      <c r="O2123" s="60"/>
    </row>
    <row r="2124" spans="14:15" x14ac:dyDescent="0.4">
      <c r="N2124" s="59"/>
      <c r="O2124" s="60"/>
    </row>
    <row r="2125" spans="14:15" x14ac:dyDescent="0.4">
      <c r="N2125" s="59"/>
      <c r="O2125" s="60"/>
    </row>
    <row r="2126" spans="14:15" x14ac:dyDescent="0.4">
      <c r="N2126" s="59"/>
      <c r="O2126" s="60"/>
    </row>
    <row r="2127" spans="14:15" x14ac:dyDescent="0.4">
      <c r="N2127" s="59"/>
      <c r="O2127" s="60"/>
    </row>
    <row r="2128" spans="14:15" x14ac:dyDescent="0.4">
      <c r="N2128" s="59"/>
      <c r="O2128" s="60"/>
    </row>
    <row r="2129" spans="14:15" x14ac:dyDescent="0.4">
      <c r="N2129" s="59"/>
      <c r="O2129" s="60"/>
    </row>
    <row r="2130" spans="14:15" x14ac:dyDescent="0.4">
      <c r="N2130" s="59"/>
      <c r="O2130" s="60"/>
    </row>
    <row r="2131" spans="14:15" x14ac:dyDescent="0.4">
      <c r="N2131" s="59"/>
      <c r="O2131" s="60"/>
    </row>
    <row r="2132" spans="14:15" x14ac:dyDescent="0.4">
      <c r="N2132" s="59"/>
      <c r="O2132" s="60"/>
    </row>
    <row r="2133" spans="14:15" x14ac:dyDescent="0.4">
      <c r="N2133" s="59"/>
      <c r="O2133" s="60"/>
    </row>
    <row r="2134" spans="14:15" x14ac:dyDescent="0.4">
      <c r="N2134" s="59"/>
      <c r="O2134" s="60"/>
    </row>
    <row r="2135" spans="14:15" x14ac:dyDescent="0.4">
      <c r="N2135" s="59"/>
      <c r="O2135" s="60"/>
    </row>
    <row r="2136" spans="14:15" x14ac:dyDescent="0.4">
      <c r="N2136" s="59"/>
      <c r="O2136" s="60"/>
    </row>
    <row r="2137" spans="14:15" x14ac:dyDescent="0.4">
      <c r="N2137" s="59"/>
      <c r="O2137" s="60"/>
    </row>
    <row r="2138" spans="14:15" x14ac:dyDescent="0.4">
      <c r="N2138" s="59"/>
      <c r="O2138" s="60"/>
    </row>
    <row r="2139" spans="14:15" x14ac:dyDescent="0.4">
      <c r="N2139" s="59"/>
      <c r="O2139" s="60"/>
    </row>
    <row r="2140" spans="14:15" x14ac:dyDescent="0.4">
      <c r="N2140" s="59"/>
      <c r="O2140" s="60"/>
    </row>
    <row r="2141" spans="14:15" x14ac:dyDescent="0.4">
      <c r="N2141" s="59"/>
      <c r="O2141" s="60"/>
    </row>
    <row r="2142" spans="14:15" x14ac:dyDescent="0.4">
      <c r="N2142" s="59"/>
      <c r="O2142" s="60"/>
    </row>
    <row r="2143" spans="14:15" x14ac:dyDescent="0.4">
      <c r="N2143" s="59"/>
      <c r="O2143" s="60"/>
    </row>
    <row r="2144" spans="14:15" x14ac:dyDescent="0.4">
      <c r="N2144" s="59"/>
      <c r="O2144" s="60"/>
    </row>
    <row r="2145" spans="14:15" x14ac:dyDescent="0.4">
      <c r="N2145" s="59"/>
      <c r="O2145" s="60"/>
    </row>
    <row r="2146" spans="14:15" x14ac:dyDescent="0.4">
      <c r="N2146" s="59"/>
      <c r="O2146" s="60"/>
    </row>
    <row r="2147" spans="14:15" x14ac:dyDescent="0.4">
      <c r="N2147" s="59"/>
      <c r="O2147" s="60"/>
    </row>
    <row r="2148" spans="14:15" x14ac:dyDescent="0.4">
      <c r="N2148" s="59"/>
      <c r="O2148" s="60"/>
    </row>
    <row r="2149" spans="14:15" x14ac:dyDescent="0.4">
      <c r="N2149" s="59"/>
      <c r="O2149" s="60"/>
    </row>
    <row r="2150" spans="14:15" x14ac:dyDescent="0.4">
      <c r="N2150" s="59"/>
      <c r="O2150" s="60"/>
    </row>
    <row r="2151" spans="14:15" x14ac:dyDescent="0.4">
      <c r="N2151" s="59"/>
      <c r="O2151" s="60"/>
    </row>
    <row r="2152" spans="14:15" x14ac:dyDescent="0.4">
      <c r="N2152" s="59"/>
      <c r="O2152" s="60"/>
    </row>
    <row r="2153" spans="14:15" x14ac:dyDescent="0.4">
      <c r="N2153" s="59"/>
      <c r="O2153" s="60"/>
    </row>
    <row r="2154" spans="14:15" x14ac:dyDescent="0.4">
      <c r="N2154" s="59"/>
      <c r="O2154" s="60"/>
    </row>
    <row r="2155" spans="14:15" x14ac:dyDescent="0.4">
      <c r="N2155" s="59"/>
      <c r="O2155" s="60"/>
    </row>
    <row r="2156" spans="14:15" x14ac:dyDescent="0.4">
      <c r="N2156" s="59"/>
      <c r="O2156" s="60"/>
    </row>
    <row r="2157" spans="14:15" x14ac:dyDescent="0.4">
      <c r="N2157" s="59"/>
      <c r="O2157" s="60"/>
    </row>
    <row r="2158" spans="14:15" x14ac:dyDescent="0.4">
      <c r="N2158" s="59"/>
      <c r="O2158" s="60"/>
    </row>
    <row r="2159" spans="14:15" x14ac:dyDescent="0.4">
      <c r="N2159" s="59"/>
      <c r="O2159" s="60"/>
    </row>
    <row r="2160" spans="14:15" x14ac:dyDescent="0.4">
      <c r="N2160" s="59"/>
      <c r="O2160" s="60"/>
    </row>
    <row r="2161" spans="14:15" x14ac:dyDescent="0.4">
      <c r="N2161" s="59"/>
      <c r="O2161" s="60"/>
    </row>
    <row r="2162" spans="14:15" x14ac:dyDescent="0.4">
      <c r="N2162" s="59"/>
      <c r="O2162" s="60"/>
    </row>
    <row r="2163" spans="14:15" x14ac:dyDescent="0.4">
      <c r="N2163" s="59"/>
      <c r="O2163" s="60"/>
    </row>
    <row r="2164" spans="14:15" x14ac:dyDescent="0.4">
      <c r="N2164" s="59"/>
      <c r="O2164" s="60"/>
    </row>
    <row r="2165" spans="14:15" x14ac:dyDescent="0.4">
      <c r="N2165" s="59"/>
      <c r="O2165" s="60"/>
    </row>
    <row r="2166" spans="14:15" x14ac:dyDescent="0.4">
      <c r="N2166" s="59"/>
      <c r="O2166" s="60"/>
    </row>
    <row r="2167" spans="14:15" x14ac:dyDescent="0.4">
      <c r="N2167" s="59"/>
      <c r="O2167" s="60"/>
    </row>
    <row r="2168" spans="14:15" x14ac:dyDescent="0.4">
      <c r="N2168" s="59"/>
      <c r="O2168" s="60"/>
    </row>
    <row r="2169" spans="14:15" x14ac:dyDescent="0.4">
      <c r="N2169" s="59"/>
      <c r="O2169" s="60"/>
    </row>
    <row r="2170" spans="14:15" x14ac:dyDescent="0.4">
      <c r="N2170" s="59"/>
      <c r="O2170" s="60"/>
    </row>
    <row r="2171" spans="14:15" x14ac:dyDescent="0.4">
      <c r="N2171" s="59"/>
      <c r="O2171" s="60"/>
    </row>
    <row r="2172" spans="14:15" x14ac:dyDescent="0.4">
      <c r="N2172" s="59"/>
      <c r="O2172" s="60"/>
    </row>
    <row r="2173" spans="14:15" x14ac:dyDescent="0.4">
      <c r="N2173" s="59"/>
      <c r="O2173" s="60"/>
    </row>
    <row r="2174" spans="14:15" x14ac:dyDescent="0.4">
      <c r="N2174" s="59"/>
      <c r="O2174" s="60"/>
    </row>
    <row r="2175" spans="14:15" x14ac:dyDescent="0.4">
      <c r="N2175" s="59"/>
      <c r="O2175" s="60"/>
    </row>
    <row r="2176" spans="14:15" x14ac:dyDescent="0.4">
      <c r="N2176" s="59"/>
      <c r="O2176" s="60"/>
    </row>
    <row r="2177" spans="14:15" x14ac:dyDescent="0.4">
      <c r="N2177" s="59"/>
      <c r="O2177" s="60"/>
    </row>
    <row r="2178" spans="14:15" x14ac:dyDescent="0.4">
      <c r="N2178" s="59"/>
      <c r="O2178" s="60"/>
    </row>
    <row r="2179" spans="14:15" x14ac:dyDescent="0.4">
      <c r="N2179" s="59"/>
      <c r="O2179" s="60"/>
    </row>
    <row r="2180" spans="14:15" x14ac:dyDescent="0.4">
      <c r="N2180" s="59"/>
      <c r="O2180" s="60"/>
    </row>
    <row r="2181" spans="14:15" x14ac:dyDescent="0.4">
      <c r="N2181" s="59"/>
      <c r="O2181" s="60"/>
    </row>
    <row r="2182" spans="14:15" x14ac:dyDescent="0.4">
      <c r="N2182" s="59"/>
      <c r="O2182" s="60"/>
    </row>
    <row r="2183" spans="14:15" x14ac:dyDescent="0.4">
      <c r="N2183" s="59"/>
      <c r="O2183" s="60"/>
    </row>
    <row r="2184" spans="14:15" x14ac:dyDescent="0.4">
      <c r="N2184" s="59"/>
      <c r="O2184" s="60"/>
    </row>
    <row r="2185" spans="14:15" x14ac:dyDescent="0.4">
      <c r="N2185" s="59"/>
      <c r="O2185" s="60"/>
    </row>
    <row r="2186" spans="14:15" x14ac:dyDescent="0.4">
      <c r="N2186" s="59"/>
      <c r="O2186" s="60"/>
    </row>
    <row r="2187" spans="14:15" x14ac:dyDescent="0.4">
      <c r="N2187" s="59"/>
      <c r="O2187" s="60"/>
    </row>
    <row r="2188" spans="14:15" x14ac:dyDescent="0.4">
      <c r="N2188" s="59"/>
      <c r="O2188" s="60"/>
    </row>
    <row r="2189" spans="14:15" x14ac:dyDescent="0.4">
      <c r="N2189" s="59"/>
      <c r="O2189" s="60"/>
    </row>
    <row r="2190" spans="14:15" x14ac:dyDescent="0.4">
      <c r="N2190" s="59"/>
      <c r="O2190" s="60"/>
    </row>
    <row r="2191" spans="14:15" x14ac:dyDescent="0.4">
      <c r="N2191" s="59"/>
      <c r="O2191" s="60"/>
    </row>
    <row r="2192" spans="14:15" x14ac:dyDescent="0.4">
      <c r="N2192" s="59"/>
      <c r="O2192" s="60"/>
    </row>
    <row r="2193" spans="14:15" x14ac:dyDescent="0.4">
      <c r="N2193" s="59"/>
      <c r="O2193" s="60"/>
    </row>
    <row r="2194" spans="14:15" x14ac:dyDescent="0.4">
      <c r="N2194" s="59"/>
      <c r="O2194" s="60"/>
    </row>
    <row r="2195" spans="14:15" x14ac:dyDescent="0.4">
      <c r="N2195" s="59"/>
      <c r="O2195" s="60"/>
    </row>
    <row r="2196" spans="14:15" x14ac:dyDescent="0.4">
      <c r="N2196" s="59"/>
      <c r="O2196" s="60"/>
    </row>
    <row r="2197" spans="14:15" x14ac:dyDescent="0.4">
      <c r="N2197" s="59"/>
      <c r="O2197" s="60"/>
    </row>
    <row r="2198" spans="14:15" x14ac:dyDescent="0.4">
      <c r="N2198" s="59"/>
      <c r="O2198" s="60"/>
    </row>
    <row r="2199" spans="14:15" x14ac:dyDescent="0.4">
      <c r="N2199" s="59"/>
      <c r="O2199" s="60"/>
    </row>
    <row r="2200" spans="14:15" x14ac:dyDescent="0.4">
      <c r="N2200" s="59"/>
      <c r="O2200" s="60"/>
    </row>
    <row r="2201" spans="14:15" x14ac:dyDescent="0.4">
      <c r="N2201" s="59"/>
      <c r="O2201" s="60"/>
    </row>
    <row r="2202" spans="14:15" x14ac:dyDescent="0.4">
      <c r="N2202" s="59"/>
      <c r="O2202" s="60"/>
    </row>
    <row r="2203" spans="14:15" x14ac:dyDescent="0.4">
      <c r="N2203" s="59"/>
      <c r="O2203" s="60"/>
    </row>
    <row r="2204" spans="14:15" x14ac:dyDescent="0.4">
      <c r="N2204" s="59"/>
      <c r="O2204" s="60"/>
    </row>
    <row r="2205" spans="14:15" x14ac:dyDescent="0.4">
      <c r="N2205" s="59"/>
      <c r="O2205" s="60"/>
    </row>
    <row r="2206" spans="14:15" x14ac:dyDescent="0.4">
      <c r="N2206" s="59"/>
      <c r="O2206" s="60"/>
    </row>
    <row r="2207" spans="14:15" x14ac:dyDescent="0.4">
      <c r="N2207" s="59"/>
      <c r="O2207" s="60"/>
    </row>
    <row r="2208" spans="14:15" x14ac:dyDescent="0.4">
      <c r="N2208" s="59"/>
      <c r="O2208" s="60"/>
    </row>
    <row r="2209" spans="14:15" x14ac:dyDescent="0.4">
      <c r="N2209" s="59"/>
      <c r="O2209" s="60"/>
    </row>
    <row r="2210" spans="14:15" x14ac:dyDescent="0.4">
      <c r="N2210" s="59"/>
      <c r="O2210" s="60"/>
    </row>
    <row r="2211" spans="14:15" x14ac:dyDescent="0.4">
      <c r="N2211" s="59"/>
      <c r="O2211" s="60"/>
    </row>
    <row r="2212" spans="14:15" x14ac:dyDescent="0.4">
      <c r="N2212" s="59"/>
      <c r="O2212" s="60"/>
    </row>
    <row r="2213" spans="14:15" x14ac:dyDescent="0.4">
      <c r="N2213" s="59"/>
      <c r="O2213" s="60"/>
    </row>
    <row r="2214" spans="14:15" x14ac:dyDescent="0.4">
      <c r="N2214" s="59"/>
      <c r="O2214" s="60"/>
    </row>
    <row r="2215" spans="14:15" x14ac:dyDescent="0.4">
      <c r="N2215" s="59"/>
      <c r="O2215" s="60"/>
    </row>
    <row r="2216" spans="14:15" x14ac:dyDescent="0.4">
      <c r="N2216" s="59"/>
      <c r="O2216" s="60"/>
    </row>
    <row r="2217" spans="14:15" x14ac:dyDescent="0.4">
      <c r="N2217" s="59"/>
      <c r="O2217" s="60"/>
    </row>
    <row r="2218" spans="14:15" x14ac:dyDescent="0.4">
      <c r="N2218" s="59"/>
      <c r="O2218" s="60"/>
    </row>
    <row r="2219" spans="14:15" x14ac:dyDescent="0.4">
      <c r="N2219" s="59"/>
      <c r="O2219" s="60"/>
    </row>
    <row r="2220" spans="14:15" x14ac:dyDescent="0.4">
      <c r="N2220" s="59"/>
      <c r="O2220" s="60"/>
    </row>
    <row r="2221" spans="14:15" x14ac:dyDescent="0.4">
      <c r="N2221" s="59"/>
      <c r="O2221" s="60"/>
    </row>
    <row r="2222" spans="14:15" x14ac:dyDescent="0.4">
      <c r="N2222" s="59"/>
      <c r="O2222" s="60"/>
    </row>
    <row r="2223" spans="14:15" x14ac:dyDescent="0.4">
      <c r="N2223" s="59"/>
      <c r="O2223" s="60"/>
    </row>
    <row r="2224" spans="14:15" x14ac:dyDescent="0.4">
      <c r="N2224" s="59"/>
      <c r="O2224" s="60"/>
    </row>
    <row r="2225" spans="14:15" x14ac:dyDescent="0.4">
      <c r="N2225" s="59"/>
      <c r="O2225" s="60"/>
    </row>
    <row r="2226" spans="14:15" x14ac:dyDescent="0.4">
      <c r="N2226" s="59"/>
      <c r="O2226" s="60"/>
    </row>
    <row r="2227" spans="14:15" x14ac:dyDescent="0.4">
      <c r="N2227" s="59"/>
      <c r="O2227" s="60"/>
    </row>
    <row r="2228" spans="14:15" x14ac:dyDescent="0.4">
      <c r="N2228" s="59"/>
      <c r="O2228" s="60"/>
    </row>
    <row r="2229" spans="14:15" x14ac:dyDescent="0.4">
      <c r="N2229" s="59"/>
      <c r="O2229" s="60"/>
    </row>
    <row r="2230" spans="14:15" x14ac:dyDescent="0.4">
      <c r="N2230" s="59"/>
      <c r="O2230" s="60"/>
    </row>
    <row r="2231" spans="14:15" x14ac:dyDescent="0.4">
      <c r="N2231" s="59"/>
      <c r="O2231" s="60"/>
    </row>
    <row r="2232" spans="14:15" x14ac:dyDescent="0.4">
      <c r="N2232" s="59"/>
      <c r="O2232" s="60"/>
    </row>
    <row r="2233" spans="14:15" x14ac:dyDescent="0.4">
      <c r="N2233" s="59"/>
      <c r="O2233" s="60"/>
    </row>
    <row r="2234" spans="14:15" x14ac:dyDescent="0.4">
      <c r="N2234" s="59"/>
      <c r="O2234" s="60"/>
    </row>
    <row r="2235" spans="14:15" x14ac:dyDescent="0.4">
      <c r="N2235" s="59"/>
      <c r="O2235" s="60"/>
    </row>
    <row r="2236" spans="14:15" x14ac:dyDescent="0.4">
      <c r="N2236" s="59"/>
      <c r="O2236" s="60"/>
    </row>
    <row r="2237" spans="14:15" x14ac:dyDescent="0.4">
      <c r="N2237" s="59"/>
      <c r="O2237" s="60"/>
    </row>
    <row r="2238" spans="14:15" x14ac:dyDescent="0.4">
      <c r="N2238" s="59"/>
      <c r="O2238" s="60"/>
    </row>
    <row r="2239" spans="14:15" x14ac:dyDescent="0.4">
      <c r="N2239" s="59"/>
      <c r="O2239" s="60"/>
    </row>
    <row r="2240" spans="14:15" x14ac:dyDescent="0.4">
      <c r="N2240" s="59"/>
      <c r="O2240" s="60"/>
    </row>
    <row r="2241" spans="14:15" x14ac:dyDescent="0.4">
      <c r="N2241" s="59"/>
      <c r="O2241" s="60"/>
    </row>
    <row r="2242" spans="14:15" x14ac:dyDescent="0.4">
      <c r="N2242" s="59"/>
      <c r="O2242" s="60"/>
    </row>
    <row r="2243" spans="14:15" x14ac:dyDescent="0.4">
      <c r="N2243" s="59"/>
      <c r="O2243" s="60"/>
    </row>
    <row r="2244" spans="14:15" x14ac:dyDescent="0.4">
      <c r="N2244" s="59"/>
      <c r="O2244" s="60"/>
    </row>
    <row r="2245" spans="14:15" x14ac:dyDescent="0.4">
      <c r="N2245" s="59"/>
      <c r="O2245" s="60"/>
    </row>
    <row r="2246" spans="14:15" x14ac:dyDescent="0.4">
      <c r="N2246" s="59"/>
      <c r="O2246" s="60"/>
    </row>
    <row r="2247" spans="14:15" x14ac:dyDescent="0.4">
      <c r="N2247" s="59"/>
      <c r="O2247" s="60"/>
    </row>
    <row r="2248" spans="14:15" x14ac:dyDescent="0.4">
      <c r="N2248" s="59"/>
      <c r="O2248" s="60"/>
    </row>
    <row r="2249" spans="14:15" x14ac:dyDescent="0.4">
      <c r="N2249" s="59"/>
      <c r="O2249" s="60"/>
    </row>
    <row r="2250" spans="14:15" x14ac:dyDescent="0.4">
      <c r="N2250" s="59"/>
      <c r="O2250" s="60"/>
    </row>
    <row r="2251" spans="14:15" x14ac:dyDescent="0.4">
      <c r="N2251" s="59"/>
      <c r="O2251" s="60"/>
    </row>
    <row r="2252" spans="14:15" x14ac:dyDescent="0.4">
      <c r="N2252" s="59"/>
      <c r="O2252" s="60"/>
    </row>
    <row r="2253" spans="14:15" x14ac:dyDescent="0.4">
      <c r="N2253" s="59"/>
      <c r="O2253" s="60"/>
    </row>
    <row r="2254" spans="14:15" x14ac:dyDescent="0.4">
      <c r="N2254" s="59"/>
      <c r="O2254" s="60"/>
    </row>
    <row r="2255" spans="14:15" x14ac:dyDescent="0.4">
      <c r="N2255" s="59"/>
      <c r="O2255" s="60"/>
    </row>
    <row r="2256" spans="14:15" x14ac:dyDescent="0.4">
      <c r="N2256" s="59"/>
      <c r="O2256" s="60"/>
    </row>
    <row r="2257" spans="14:15" x14ac:dyDescent="0.4">
      <c r="N2257" s="59"/>
      <c r="O2257" s="60"/>
    </row>
    <row r="2258" spans="14:15" x14ac:dyDescent="0.4">
      <c r="N2258" s="59"/>
      <c r="O2258" s="60"/>
    </row>
    <row r="2259" spans="14:15" x14ac:dyDescent="0.4">
      <c r="N2259" s="59"/>
      <c r="O2259" s="60"/>
    </row>
    <row r="2260" spans="14:15" x14ac:dyDescent="0.4">
      <c r="N2260" s="59"/>
      <c r="O2260" s="60"/>
    </row>
    <row r="2261" spans="14:15" x14ac:dyDescent="0.4">
      <c r="N2261" s="59"/>
      <c r="O2261" s="60"/>
    </row>
    <row r="2262" spans="14:15" x14ac:dyDescent="0.4">
      <c r="N2262" s="59"/>
      <c r="O2262" s="60"/>
    </row>
    <row r="2263" spans="14:15" x14ac:dyDescent="0.4">
      <c r="N2263" s="59"/>
      <c r="O2263" s="60"/>
    </row>
    <row r="2264" spans="14:15" x14ac:dyDescent="0.4">
      <c r="N2264" s="59"/>
      <c r="O2264" s="60"/>
    </row>
    <row r="2265" spans="14:15" x14ac:dyDescent="0.4">
      <c r="N2265" s="59"/>
      <c r="O2265" s="60"/>
    </row>
    <row r="2266" spans="14:15" x14ac:dyDescent="0.4">
      <c r="N2266" s="59"/>
      <c r="O2266" s="60"/>
    </row>
    <row r="2267" spans="14:15" x14ac:dyDescent="0.4">
      <c r="N2267" s="59"/>
      <c r="O2267" s="60"/>
    </row>
    <row r="2268" spans="14:15" x14ac:dyDescent="0.4">
      <c r="N2268" s="59"/>
      <c r="O2268" s="60"/>
    </row>
    <row r="2269" spans="14:15" x14ac:dyDescent="0.4">
      <c r="N2269" s="59"/>
      <c r="O2269" s="60"/>
    </row>
    <row r="2270" spans="14:15" x14ac:dyDescent="0.4">
      <c r="N2270" s="59"/>
      <c r="O2270" s="60"/>
    </row>
    <row r="2271" spans="14:15" x14ac:dyDescent="0.4">
      <c r="N2271" s="59"/>
      <c r="O2271" s="60"/>
    </row>
    <row r="2272" spans="14:15" x14ac:dyDescent="0.4">
      <c r="N2272" s="59"/>
      <c r="O2272" s="60"/>
    </row>
    <row r="2273" spans="14:15" x14ac:dyDescent="0.4">
      <c r="N2273" s="59"/>
      <c r="O2273" s="60"/>
    </row>
    <row r="2274" spans="14:15" x14ac:dyDescent="0.4">
      <c r="N2274" s="59"/>
      <c r="O2274" s="60"/>
    </row>
    <row r="2275" spans="14:15" x14ac:dyDescent="0.4">
      <c r="N2275" s="59"/>
      <c r="O2275" s="60"/>
    </row>
    <row r="2276" spans="14:15" x14ac:dyDescent="0.4">
      <c r="N2276" s="59"/>
      <c r="O2276" s="60"/>
    </row>
    <row r="2277" spans="14:15" x14ac:dyDescent="0.4">
      <c r="N2277" s="59"/>
      <c r="O2277" s="60"/>
    </row>
    <row r="2278" spans="14:15" x14ac:dyDescent="0.4">
      <c r="N2278" s="59"/>
      <c r="O2278" s="60"/>
    </row>
    <row r="2279" spans="14:15" x14ac:dyDescent="0.4">
      <c r="N2279" s="59"/>
      <c r="O2279" s="60"/>
    </row>
    <row r="2280" spans="14:15" x14ac:dyDescent="0.4">
      <c r="N2280" s="59"/>
      <c r="O2280" s="60"/>
    </row>
    <row r="2281" spans="14:15" x14ac:dyDescent="0.4">
      <c r="N2281" s="59"/>
      <c r="O2281" s="60"/>
    </row>
    <row r="2282" spans="14:15" x14ac:dyDescent="0.4">
      <c r="N2282" s="59"/>
      <c r="O2282" s="60"/>
    </row>
    <row r="2283" spans="14:15" x14ac:dyDescent="0.4">
      <c r="N2283" s="59"/>
      <c r="O2283" s="60"/>
    </row>
    <row r="2284" spans="14:15" x14ac:dyDescent="0.4">
      <c r="N2284" s="59"/>
      <c r="O2284" s="60"/>
    </row>
    <row r="2285" spans="14:15" x14ac:dyDescent="0.4">
      <c r="N2285" s="59"/>
      <c r="O2285" s="60"/>
    </row>
    <row r="2286" spans="14:15" x14ac:dyDescent="0.4">
      <c r="N2286" s="59"/>
      <c r="O2286" s="60"/>
    </row>
    <row r="2287" spans="14:15" x14ac:dyDescent="0.4">
      <c r="N2287" s="59"/>
      <c r="O2287" s="60"/>
    </row>
    <row r="2288" spans="14:15" x14ac:dyDescent="0.4">
      <c r="N2288" s="59"/>
      <c r="O2288" s="60"/>
    </row>
    <row r="2289" spans="14:15" x14ac:dyDescent="0.4">
      <c r="N2289" s="59"/>
      <c r="O2289" s="60"/>
    </row>
    <row r="2290" spans="14:15" x14ac:dyDescent="0.4">
      <c r="N2290" s="59"/>
      <c r="O2290" s="60"/>
    </row>
    <row r="2291" spans="14:15" x14ac:dyDescent="0.4">
      <c r="N2291" s="59"/>
      <c r="O2291" s="60"/>
    </row>
    <row r="2292" spans="14:15" x14ac:dyDescent="0.4">
      <c r="N2292" s="59"/>
      <c r="O2292" s="60"/>
    </row>
    <row r="2293" spans="14:15" x14ac:dyDescent="0.4">
      <c r="N2293" s="59"/>
      <c r="O2293" s="60"/>
    </row>
    <row r="2294" spans="14:15" x14ac:dyDescent="0.4">
      <c r="N2294" s="59"/>
      <c r="O2294" s="60"/>
    </row>
    <row r="2295" spans="14:15" x14ac:dyDescent="0.4">
      <c r="N2295" s="59"/>
      <c r="O2295" s="60"/>
    </row>
    <row r="2296" spans="14:15" x14ac:dyDescent="0.4">
      <c r="N2296" s="59"/>
      <c r="O2296" s="60"/>
    </row>
    <row r="2297" spans="14:15" x14ac:dyDescent="0.4">
      <c r="N2297" s="59"/>
      <c r="O2297" s="60"/>
    </row>
    <row r="2298" spans="14:15" x14ac:dyDescent="0.4">
      <c r="N2298" s="59"/>
      <c r="O2298" s="60"/>
    </row>
    <row r="2299" spans="14:15" x14ac:dyDescent="0.4">
      <c r="N2299" s="59"/>
      <c r="O2299" s="60"/>
    </row>
    <row r="2300" spans="14:15" x14ac:dyDescent="0.4">
      <c r="N2300" s="59"/>
      <c r="O2300" s="60"/>
    </row>
    <row r="2301" spans="14:15" x14ac:dyDescent="0.4">
      <c r="N2301" s="59"/>
      <c r="O2301" s="60"/>
    </row>
    <row r="2302" spans="14:15" x14ac:dyDescent="0.4">
      <c r="N2302" s="59"/>
      <c r="O2302" s="60"/>
    </row>
    <row r="2303" spans="14:15" x14ac:dyDescent="0.4">
      <c r="N2303" s="59"/>
      <c r="O2303" s="60"/>
    </row>
    <row r="2304" spans="14:15" x14ac:dyDescent="0.4">
      <c r="N2304" s="59"/>
      <c r="O2304" s="60"/>
    </row>
    <row r="2305" spans="14:15" x14ac:dyDescent="0.4">
      <c r="N2305" s="59"/>
      <c r="O2305" s="60"/>
    </row>
    <row r="2306" spans="14:15" x14ac:dyDescent="0.4">
      <c r="N2306" s="59"/>
      <c r="O2306" s="60"/>
    </row>
    <row r="2307" spans="14:15" x14ac:dyDescent="0.4">
      <c r="N2307" s="59"/>
      <c r="O2307" s="60"/>
    </row>
    <row r="2308" spans="14:15" x14ac:dyDescent="0.4">
      <c r="N2308" s="59"/>
      <c r="O2308" s="60"/>
    </row>
    <row r="2309" spans="14:15" x14ac:dyDescent="0.4">
      <c r="N2309" s="59"/>
      <c r="O2309" s="60"/>
    </row>
    <row r="2310" spans="14:15" x14ac:dyDescent="0.4">
      <c r="N2310" s="59"/>
      <c r="O2310" s="60"/>
    </row>
    <row r="2311" spans="14:15" x14ac:dyDescent="0.4">
      <c r="N2311" s="59"/>
      <c r="O2311" s="60"/>
    </row>
    <row r="2312" spans="14:15" x14ac:dyDescent="0.4">
      <c r="N2312" s="59"/>
      <c r="O2312" s="60"/>
    </row>
    <row r="2313" spans="14:15" x14ac:dyDescent="0.4">
      <c r="N2313" s="59"/>
      <c r="O2313" s="60"/>
    </row>
    <row r="2314" spans="14:15" x14ac:dyDescent="0.4">
      <c r="N2314" s="59"/>
      <c r="O2314" s="60"/>
    </row>
    <row r="2315" spans="14:15" x14ac:dyDescent="0.4">
      <c r="N2315" s="59"/>
      <c r="O2315" s="60"/>
    </row>
    <row r="2316" spans="14:15" x14ac:dyDescent="0.4">
      <c r="N2316" s="59"/>
      <c r="O2316" s="60"/>
    </row>
    <row r="2317" spans="14:15" x14ac:dyDescent="0.4">
      <c r="N2317" s="59"/>
      <c r="O2317" s="60"/>
    </row>
    <row r="2318" spans="14:15" x14ac:dyDescent="0.4">
      <c r="N2318" s="59"/>
      <c r="O2318" s="60"/>
    </row>
    <row r="2319" spans="14:15" x14ac:dyDescent="0.4">
      <c r="N2319" s="59"/>
      <c r="O2319" s="60"/>
    </row>
    <row r="2320" spans="14:15" x14ac:dyDescent="0.4">
      <c r="N2320" s="59"/>
      <c r="O2320" s="60"/>
    </row>
    <row r="2321" spans="14:15" x14ac:dyDescent="0.4">
      <c r="N2321" s="59"/>
      <c r="O2321" s="60"/>
    </row>
    <row r="2322" spans="14:15" x14ac:dyDescent="0.4">
      <c r="N2322" s="59"/>
      <c r="O2322" s="60"/>
    </row>
    <row r="2323" spans="14:15" x14ac:dyDescent="0.4">
      <c r="N2323" s="59"/>
      <c r="O2323" s="60"/>
    </row>
    <row r="2324" spans="14:15" x14ac:dyDescent="0.4">
      <c r="N2324" s="59"/>
      <c r="O2324" s="60"/>
    </row>
    <row r="2325" spans="14:15" x14ac:dyDescent="0.4">
      <c r="N2325" s="59"/>
      <c r="O2325" s="60"/>
    </row>
    <row r="2326" spans="14:15" x14ac:dyDescent="0.4">
      <c r="N2326" s="59"/>
      <c r="O2326" s="60"/>
    </row>
    <row r="2327" spans="14:15" x14ac:dyDescent="0.4">
      <c r="N2327" s="59"/>
      <c r="O2327" s="60"/>
    </row>
    <row r="2328" spans="14:15" x14ac:dyDescent="0.4">
      <c r="N2328" s="59"/>
      <c r="O2328" s="60"/>
    </row>
    <row r="2329" spans="14:15" x14ac:dyDescent="0.4">
      <c r="N2329" s="59"/>
      <c r="O2329" s="60"/>
    </row>
    <row r="2330" spans="14:15" x14ac:dyDescent="0.4">
      <c r="N2330" s="59"/>
      <c r="O2330" s="60"/>
    </row>
    <row r="2331" spans="14:15" x14ac:dyDescent="0.4">
      <c r="N2331" s="59"/>
      <c r="O2331" s="60"/>
    </row>
    <row r="2332" spans="14:15" x14ac:dyDescent="0.4">
      <c r="N2332" s="59"/>
      <c r="O2332" s="60"/>
    </row>
    <row r="2333" spans="14:15" x14ac:dyDescent="0.4">
      <c r="N2333" s="59"/>
      <c r="O2333" s="60"/>
    </row>
    <row r="2334" spans="14:15" x14ac:dyDescent="0.4">
      <c r="N2334" s="59"/>
      <c r="O2334" s="60"/>
    </row>
    <row r="2335" spans="14:15" x14ac:dyDescent="0.4">
      <c r="N2335" s="59"/>
      <c r="O2335" s="60"/>
    </row>
    <row r="2336" spans="14:15" x14ac:dyDescent="0.4">
      <c r="N2336" s="59"/>
      <c r="O2336" s="60"/>
    </row>
    <row r="2337" spans="14:15" x14ac:dyDescent="0.4">
      <c r="N2337" s="59"/>
      <c r="O2337" s="60"/>
    </row>
    <row r="2338" spans="14:15" x14ac:dyDescent="0.4">
      <c r="N2338" s="59"/>
      <c r="O2338" s="60"/>
    </row>
    <row r="2339" spans="14:15" x14ac:dyDescent="0.4">
      <c r="N2339" s="59"/>
      <c r="O2339" s="60"/>
    </row>
    <row r="2340" spans="14:15" x14ac:dyDescent="0.4">
      <c r="N2340" s="59"/>
      <c r="O2340" s="60"/>
    </row>
    <row r="2341" spans="14:15" x14ac:dyDescent="0.4">
      <c r="N2341" s="59"/>
      <c r="O2341" s="60"/>
    </row>
    <row r="2342" spans="14:15" x14ac:dyDescent="0.4">
      <c r="N2342" s="59"/>
      <c r="O2342" s="60"/>
    </row>
    <row r="2343" spans="14:15" x14ac:dyDescent="0.4">
      <c r="N2343" s="59"/>
      <c r="O2343" s="60"/>
    </row>
    <row r="2344" spans="14:15" x14ac:dyDescent="0.4">
      <c r="N2344" s="59"/>
      <c r="O2344" s="60"/>
    </row>
    <row r="2345" spans="14:15" x14ac:dyDescent="0.4">
      <c r="N2345" s="59"/>
      <c r="O2345" s="60"/>
    </row>
    <row r="2346" spans="14:15" x14ac:dyDescent="0.4">
      <c r="N2346" s="59"/>
      <c r="O2346" s="60"/>
    </row>
    <row r="2347" spans="14:15" x14ac:dyDescent="0.4">
      <c r="N2347" s="59"/>
      <c r="O2347" s="60"/>
    </row>
    <row r="2348" spans="14:15" x14ac:dyDescent="0.4">
      <c r="N2348" s="59"/>
      <c r="O2348" s="60"/>
    </row>
    <row r="2349" spans="14:15" x14ac:dyDescent="0.4">
      <c r="N2349" s="59"/>
      <c r="O2349" s="60"/>
    </row>
    <row r="2350" spans="14:15" x14ac:dyDescent="0.4">
      <c r="N2350" s="59"/>
      <c r="O2350" s="60"/>
    </row>
    <row r="2351" spans="14:15" x14ac:dyDescent="0.4">
      <c r="N2351" s="59"/>
      <c r="O2351" s="60"/>
    </row>
    <row r="2352" spans="14:15" x14ac:dyDescent="0.4">
      <c r="N2352" s="59"/>
      <c r="O2352" s="60"/>
    </row>
    <row r="2353" spans="14:15" x14ac:dyDescent="0.4">
      <c r="N2353" s="59"/>
      <c r="O2353" s="60"/>
    </row>
    <row r="2354" spans="14:15" x14ac:dyDescent="0.4">
      <c r="N2354" s="59"/>
      <c r="O2354" s="60"/>
    </row>
    <row r="2355" spans="14:15" x14ac:dyDescent="0.4">
      <c r="N2355" s="59"/>
      <c r="O2355" s="60"/>
    </row>
    <row r="2356" spans="14:15" x14ac:dyDescent="0.4">
      <c r="N2356" s="59"/>
      <c r="O2356" s="60"/>
    </row>
    <row r="2357" spans="14:15" x14ac:dyDescent="0.4">
      <c r="N2357" s="59"/>
      <c r="O2357" s="60"/>
    </row>
    <row r="2358" spans="14:15" x14ac:dyDescent="0.4">
      <c r="N2358" s="59"/>
      <c r="O2358" s="60"/>
    </row>
    <row r="2359" spans="14:15" x14ac:dyDescent="0.4">
      <c r="N2359" s="59"/>
      <c r="O2359" s="60"/>
    </row>
    <row r="2360" spans="14:15" x14ac:dyDescent="0.4">
      <c r="N2360" s="59"/>
      <c r="O2360" s="60"/>
    </row>
    <row r="2361" spans="14:15" x14ac:dyDescent="0.4">
      <c r="N2361" s="59"/>
      <c r="O2361" s="60"/>
    </row>
    <row r="2362" spans="14:15" x14ac:dyDescent="0.4">
      <c r="N2362" s="59"/>
      <c r="O2362" s="60"/>
    </row>
    <row r="2363" spans="14:15" x14ac:dyDescent="0.4">
      <c r="N2363" s="59"/>
      <c r="O2363" s="60"/>
    </row>
    <row r="2364" spans="14:15" x14ac:dyDescent="0.4">
      <c r="N2364" s="59"/>
      <c r="O2364" s="60"/>
    </row>
    <row r="2365" spans="14:15" x14ac:dyDescent="0.4">
      <c r="N2365" s="59"/>
      <c r="O2365" s="60"/>
    </row>
    <row r="2366" spans="14:15" x14ac:dyDescent="0.4">
      <c r="N2366" s="59"/>
      <c r="O2366" s="60"/>
    </row>
    <row r="2367" spans="14:15" x14ac:dyDescent="0.4">
      <c r="N2367" s="59"/>
      <c r="O2367" s="60"/>
    </row>
    <row r="2368" spans="14:15" x14ac:dyDescent="0.4">
      <c r="N2368" s="59"/>
      <c r="O2368" s="60"/>
    </row>
    <row r="2369" spans="14:15" x14ac:dyDescent="0.4">
      <c r="N2369" s="59"/>
      <c r="O2369" s="60"/>
    </row>
    <row r="2370" spans="14:15" x14ac:dyDescent="0.4">
      <c r="N2370" s="59"/>
      <c r="O2370" s="60"/>
    </row>
    <row r="2371" spans="14:15" x14ac:dyDescent="0.4">
      <c r="N2371" s="59"/>
      <c r="O2371" s="60"/>
    </row>
    <row r="2372" spans="14:15" x14ac:dyDescent="0.4">
      <c r="N2372" s="59"/>
      <c r="O2372" s="60"/>
    </row>
    <row r="2373" spans="14:15" x14ac:dyDescent="0.4">
      <c r="N2373" s="59"/>
      <c r="O2373" s="60"/>
    </row>
    <row r="2374" spans="14:15" x14ac:dyDescent="0.4">
      <c r="N2374" s="59"/>
      <c r="O2374" s="60"/>
    </row>
    <row r="2375" spans="14:15" x14ac:dyDescent="0.4">
      <c r="N2375" s="59"/>
      <c r="O2375" s="60"/>
    </row>
    <row r="2376" spans="14:15" x14ac:dyDescent="0.4">
      <c r="N2376" s="59"/>
      <c r="O2376" s="60"/>
    </row>
    <row r="2377" spans="14:15" x14ac:dyDescent="0.4">
      <c r="N2377" s="59"/>
      <c r="O2377" s="60"/>
    </row>
    <row r="2378" spans="14:15" x14ac:dyDescent="0.4">
      <c r="N2378" s="59"/>
      <c r="O2378" s="60"/>
    </row>
    <row r="2379" spans="14:15" x14ac:dyDescent="0.4">
      <c r="N2379" s="59"/>
      <c r="O2379" s="60"/>
    </row>
    <row r="2380" spans="14:15" x14ac:dyDescent="0.4">
      <c r="N2380" s="59"/>
      <c r="O2380" s="60"/>
    </row>
    <row r="2381" spans="14:15" x14ac:dyDescent="0.4">
      <c r="N2381" s="59"/>
      <c r="O2381" s="60"/>
    </row>
    <row r="2382" spans="14:15" x14ac:dyDescent="0.4">
      <c r="N2382" s="59"/>
      <c r="O2382" s="60"/>
    </row>
    <row r="2383" spans="14:15" x14ac:dyDescent="0.4">
      <c r="N2383" s="59"/>
      <c r="O2383" s="60"/>
    </row>
    <row r="2384" spans="14:15" x14ac:dyDescent="0.4">
      <c r="N2384" s="59"/>
      <c r="O2384" s="60"/>
    </row>
    <row r="2385" spans="14:15" x14ac:dyDescent="0.4">
      <c r="N2385" s="59"/>
      <c r="O2385" s="60"/>
    </row>
    <row r="2386" spans="14:15" x14ac:dyDescent="0.4">
      <c r="N2386" s="59"/>
      <c r="O2386" s="60"/>
    </row>
    <row r="2387" spans="14:15" x14ac:dyDescent="0.4">
      <c r="N2387" s="59"/>
      <c r="O2387" s="60"/>
    </row>
    <row r="2388" spans="14:15" x14ac:dyDescent="0.4">
      <c r="N2388" s="59"/>
      <c r="O2388" s="60"/>
    </row>
    <row r="2389" spans="14:15" x14ac:dyDescent="0.4">
      <c r="N2389" s="59"/>
      <c r="O2389" s="60"/>
    </row>
    <row r="2390" spans="14:15" x14ac:dyDescent="0.4">
      <c r="N2390" s="59"/>
      <c r="O2390" s="60"/>
    </row>
    <row r="2391" spans="14:15" x14ac:dyDescent="0.4">
      <c r="N2391" s="59"/>
      <c r="O2391" s="60"/>
    </row>
    <row r="2392" spans="14:15" x14ac:dyDescent="0.4">
      <c r="N2392" s="59"/>
      <c r="O2392" s="60"/>
    </row>
    <row r="2393" spans="14:15" x14ac:dyDescent="0.4">
      <c r="N2393" s="59"/>
      <c r="O2393" s="60"/>
    </row>
    <row r="2394" spans="14:15" x14ac:dyDescent="0.4">
      <c r="N2394" s="59"/>
      <c r="O2394" s="60"/>
    </row>
    <row r="2395" spans="14:15" x14ac:dyDescent="0.4">
      <c r="N2395" s="59"/>
      <c r="O2395" s="60"/>
    </row>
    <row r="2396" spans="14:15" x14ac:dyDescent="0.4">
      <c r="N2396" s="59"/>
      <c r="O2396" s="60"/>
    </row>
    <row r="2397" spans="14:15" x14ac:dyDescent="0.4">
      <c r="N2397" s="59"/>
      <c r="O2397" s="60"/>
    </row>
    <row r="2398" spans="14:15" x14ac:dyDescent="0.4">
      <c r="N2398" s="59"/>
      <c r="O2398" s="60"/>
    </row>
    <row r="2399" spans="14:15" x14ac:dyDescent="0.4">
      <c r="N2399" s="59"/>
      <c r="O2399" s="60"/>
    </row>
    <row r="2400" spans="14:15" x14ac:dyDescent="0.4">
      <c r="N2400" s="59"/>
      <c r="O2400" s="60"/>
    </row>
    <row r="2401" spans="14:15" x14ac:dyDescent="0.4">
      <c r="N2401" s="59"/>
      <c r="O2401" s="60"/>
    </row>
    <row r="2402" spans="14:15" x14ac:dyDescent="0.4">
      <c r="N2402" s="59"/>
      <c r="O2402" s="60"/>
    </row>
    <row r="2403" spans="14:15" x14ac:dyDescent="0.4">
      <c r="N2403" s="59"/>
      <c r="O2403" s="60"/>
    </row>
    <row r="2404" spans="14:15" x14ac:dyDescent="0.4">
      <c r="N2404" s="59"/>
      <c r="O2404" s="60"/>
    </row>
    <row r="2405" spans="14:15" x14ac:dyDescent="0.4">
      <c r="N2405" s="59"/>
      <c r="O2405" s="60"/>
    </row>
    <row r="2406" spans="14:15" x14ac:dyDescent="0.4">
      <c r="N2406" s="59"/>
      <c r="O2406" s="60"/>
    </row>
    <row r="2407" spans="14:15" x14ac:dyDescent="0.4">
      <c r="N2407" s="59"/>
      <c r="O2407" s="60"/>
    </row>
    <row r="2408" spans="14:15" x14ac:dyDescent="0.4">
      <c r="N2408" s="59"/>
      <c r="O2408" s="60"/>
    </row>
    <row r="2409" spans="14:15" x14ac:dyDescent="0.4">
      <c r="N2409" s="59"/>
      <c r="O2409" s="60"/>
    </row>
    <row r="2410" spans="14:15" x14ac:dyDescent="0.4">
      <c r="N2410" s="59"/>
      <c r="O2410" s="60"/>
    </row>
    <row r="2411" spans="14:15" x14ac:dyDescent="0.4">
      <c r="N2411" s="59"/>
      <c r="O2411" s="60"/>
    </row>
    <row r="2412" spans="14:15" x14ac:dyDescent="0.4">
      <c r="N2412" s="59"/>
      <c r="O2412" s="60"/>
    </row>
    <row r="2413" spans="14:15" x14ac:dyDescent="0.4">
      <c r="N2413" s="59"/>
      <c r="O2413" s="60"/>
    </row>
    <row r="2414" spans="14:15" x14ac:dyDescent="0.4">
      <c r="N2414" s="59"/>
      <c r="O2414" s="60"/>
    </row>
    <row r="2415" spans="14:15" x14ac:dyDescent="0.4">
      <c r="N2415" s="59"/>
      <c r="O2415" s="60"/>
    </row>
    <row r="2416" spans="14:15" x14ac:dyDescent="0.4">
      <c r="N2416" s="59"/>
      <c r="O2416" s="60"/>
    </row>
    <row r="2417" spans="14:15" x14ac:dyDescent="0.4">
      <c r="N2417" s="59"/>
      <c r="O2417" s="60"/>
    </row>
    <row r="2418" spans="14:15" x14ac:dyDescent="0.4">
      <c r="N2418" s="59"/>
      <c r="O2418" s="60"/>
    </row>
    <row r="2419" spans="14:15" x14ac:dyDescent="0.4">
      <c r="N2419" s="59"/>
      <c r="O2419" s="60"/>
    </row>
    <row r="2420" spans="14:15" x14ac:dyDescent="0.4">
      <c r="N2420" s="59"/>
      <c r="O2420" s="60"/>
    </row>
    <row r="2421" spans="14:15" x14ac:dyDescent="0.4">
      <c r="N2421" s="59"/>
      <c r="O2421" s="60"/>
    </row>
    <row r="2422" spans="14:15" x14ac:dyDescent="0.4">
      <c r="N2422" s="59"/>
      <c r="O2422" s="60"/>
    </row>
    <row r="2423" spans="14:15" x14ac:dyDescent="0.4">
      <c r="N2423" s="59"/>
      <c r="O2423" s="60"/>
    </row>
    <row r="2424" spans="14:15" x14ac:dyDescent="0.4">
      <c r="N2424" s="59"/>
      <c r="O2424" s="60"/>
    </row>
    <row r="2425" spans="14:15" x14ac:dyDescent="0.4">
      <c r="N2425" s="59"/>
      <c r="O2425" s="60"/>
    </row>
    <row r="2426" spans="14:15" x14ac:dyDescent="0.4">
      <c r="N2426" s="59"/>
      <c r="O2426" s="60"/>
    </row>
    <row r="2427" spans="14:15" x14ac:dyDescent="0.4">
      <c r="N2427" s="59"/>
      <c r="O2427" s="60"/>
    </row>
    <row r="2428" spans="14:15" x14ac:dyDescent="0.4">
      <c r="N2428" s="59"/>
      <c r="O2428" s="60"/>
    </row>
    <row r="2429" spans="14:15" x14ac:dyDescent="0.4">
      <c r="N2429" s="59"/>
      <c r="O2429" s="60"/>
    </row>
    <row r="2430" spans="14:15" x14ac:dyDescent="0.4">
      <c r="N2430" s="59"/>
      <c r="O2430" s="60"/>
    </row>
    <row r="2431" spans="14:15" x14ac:dyDescent="0.4">
      <c r="N2431" s="59"/>
      <c r="O2431" s="60"/>
    </row>
    <row r="2432" spans="14:15" x14ac:dyDescent="0.4">
      <c r="N2432" s="59"/>
      <c r="O2432" s="60"/>
    </row>
    <row r="2433" spans="14:15" x14ac:dyDescent="0.4">
      <c r="N2433" s="59"/>
      <c r="O2433" s="60"/>
    </row>
    <row r="2434" spans="14:15" x14ac:dyDescent="0.4">
      <c r="N2434" s="59"/>
      <c r="O2434" s="60"/>
    </row>
    <row r="2435" spans="14:15" x14ac:dyDescent="0.4">
      <c r="N2435" s="59"/>
      <c r="O2435" s="60"/>
    </row>
    <row r="2436" spans="14:15" x14ac:dyDescent="0.4">
      <c r="N2436" s="59"/>
      <c r="O2436" s="60"/>
    </row>
    <row r="2437" spans="14:15" x14ac:dyDescent="0.4">
      <c r="N2437" s="59"/>
      <c r="O2437" s="60"/>
    </row>
    <row r="2438" spans="14:15" x14ac:dyDescent="0.4">
      <c r="N2438" s="59"/>
      <c r="O2438" s="60"/>
    </row>
    <row r="2439" spans="14:15" x14ac:dyDescent="0.4">
      <c r="N2439" s="59"/>
      <c r="O2439" s="60"/>
    </row>
    <row r="2440" spans="14:15" x14ac:dyDescent="0.4">
      <c r="N2440" s="59"/>
      <c r="O2440" s="60"/>
    </row>
    <row r="2441" spans="14:15" x14ac:dyDescent="0.4">
      <c r="N2441" s="59"/>
      <c r="O2441" s="60"/>
    </row>
    <row r="2442" spans="14:15" x14ac:dyDescent="0.4">
      <c r="N2442" s="59"/>
      <c r="O2442" s="60"/>
    </row>
    <row r="2443" spans="14:15" x14ac:dyDescent="0.4">
      <c r="N2443" s="59"/>
      <c r="O2443" s="60"/>
    </row>
    <row r="2444" spans="14:15" x14ac:dyDescent="0.4">
      <c r="N2444" s="59"/>
      <c r="O2444" s="60"/>
    </row>
    <row r="2445" spans="14:15" x14ac:dyDescent="0.4">
      <c r="N2445" s="59"/>
      <c r="O2445" s="60"/>
    </row>
    <row r="2446" spans="14:15" x14ac:dyDescent="0.4">
      <c r="N2446" s="59"/>
      <c r="O2446" s="60"/>
    </row>
    <row r="2447" spans="14:15" x14ac:dyDescent="0.4">
      <c r="N2447" s="59"/>
      <c r="O2447" s="60"/>
    </row>
    <row r="2448" spans="14:15" x14ac:dyDescent="0.4">
      <c r="N2448" s="59"/>
      <c r="O2448" s="60"/>
    </row>
    <row r="2449" spans="14:15" x14ac:dyDescent="0.4">
      <c r="N2449" s="59"/>
      <c r="O2449" s="60"/>
    </row>
    <row r="2450" spans="14:15" x14ac:dyDescent="0.4">
      <c r="N2450" s="59"/>
      <c r="O2450" s="60"/>
    </row>
    <row r="2451" spans="14:15" x14ac:dyDescent="0.4">
      <c r="N2451" s="59"/>
      <c r="O2451" s="60"/>
    </row>
    <row r="2452" spans="14:15" x14ac:dyDescent="0.4">
      <c r="N2452" s="59"/>
      <c r="O2452" s="60"/>
    </row>
    <row r="2453" spans="14:15" x14ac:dyDescent="0.4">
      <c r="N2453" s="59"/>
      <c r="O2453" s="60"/>
    </row>
    <row r="2454" spans="14:15" x14ac:dyDescent="0.4">
      <c r="N2454" s="59"/>
      <c r="O2454" s="60"/>
    </row>
    <row r="2455" spans="14:15" x14ac:dyDescent="0.4">
      <c r="N2455" s="59"/>
      <c r="O2455" s="60"/>
    </row>
    <row r="2456" spans="14:15" x14ac:dyDescent="0.4">
      <c r="N2456" s="59"/>
      <c r="O2456" s="60"/>
    </row>
    <row r="2457" spans="14:15" x14ac:dyDescent="0.4">
      <c r="N2457" s="59"/>
      <c r="O2457" s="60"/>
    </row>
    <row r="2458" spans="14:15" x14ac:dyDescent="0.4">
      <c r="N2458" s="59"/>
      <c r="O2458" s="60"/>
    </row>
    <row r="2459" spans="14:15" x14ac:dyDescent="0.4">
      <c r="N2459" s="59"/>
      <c r="O2459" s="60"/>
    </row>
    <row r="2460" spans="14:15" x14ac:dyDescent="0.4">
      <c r="N2460" s="59"/>
      <c r="O2460" s="60"/>
    </row>
    <row r="2461" spans="14:15" x14ac:dyDescent="0.4">
      <c r="N2461" s="59"/>
      <c r="O2461" s="60"/>
    </row>
    <row r="2462" spans="14:15" x14ac:dyDescent="0.4">
      <c r="N2462" s="59"/>
      <c r="O2462" s="60"/>
    </row>
    <row r="2463" spans="14:15" x14ac:dyDescent="0.4">
      <c r="N2463" s="59"/>
      <c r="O2463" s="60"/>
    </row>
    <row r="2464" spans="14:15" x14ac:dyDescent="0.4">
      <c r="N2464" s="59"/>
      <c r="O2464" s="60"/>
    </row>
    <row r="2465" spans="14:15" x14ac:dyDescent="0.4">
      <c r="N2465" s="59"/>
      <c r="O2465" s="60"/>
    </row>
    <row r="2466" spans="14:15" x14ac:dyDescent="0.4">
      <c r="N2466" s="59"/>
      <c r="O2466" s="60"/>
    </row>
    <row r="2467" spans="14:15" x14ac:dyDescent="0.4">
      <c r="N2467" s="59"/>
      <c r="O2467" s="60"/>
    </row>
    <row r="2468" spans="14:15" x14ac:dyDescent="0.4">
      <c r="N2468" s="59"/>
      <c r="O2468" s="60"/>
    </row>
    <row r="2469" spans="14:15" x14ac:dyDescent="0.4">
      <c r="N2469" s="59"/>
      <c r="O2469" s="60"/>
    </row>
    <row r="2470" spans="14:15" x14ac:dyDescent="0.4">
      <c r="N2470" s="59"/>
      <c r="O2470" s="60"/>
    </row>
    <row r="2471" spans="14:15" x14ac:dyDescent="0.4">
      <c r="N2471" s="59"/>
      <c r="O2471" s="60"/>
    </row>
    <row r="2472" spans="14:15" x14ac:dyDescent="0.4">
      <c r="N2472" s="59"/>
      <c r="O2472" s="60"/>
    </row>
    <row r="2473" spans="14:15" x14ac:dyDescent="0.4">
      <c r="N2473" s="59"/>
      <c r="O2473" s="60"/>
    </row>
    <row r="2474" spans="14:15" x14ac:dyDescent="0.4">
      <c r="N2474" s="59"/>
      <c r="O2474" s="60"/>
    </row>
    <row r="2475" spans="14:15" x14ac:dyDescent="0.4">
      <c r="N2475" s="59"/>
      <c r="O2475" s="60"/>
    </row>
    <row r="2476" spans="14:15" x14ac:dyDescent="0.4">
      <c r="N2476" s="59"/>
      <c r="O2476" s="60"/>
    </row>
    <row r="2477" spans="14:15" x14ac:dyDescent="0.4">
      <c r="N2477" s="59"/>
      <c r="O2477" s="60"/>
    </row>
    <row r="2478" spans="14:15" x14ac:dyDescent="0.4">
      <c r="N2478" s="59"/>
      <c r="O2478" s="60"/>
    </row>
    <row r="2479" spans="14:15" x14ac:dyDescent="0.4">
      <c r="N2479" s="59"/>
      <c r="O2479" s="60"/>
    </row>
    <row r="2480" spans="14:15" x14ac:dyDescent="0.4">
      <c r="N2480" s="59"/>
      <c r="O2480" s="60"/>
    </row>
    <row r="2481" spans="14:15" x14ac:dyDescent="0.4">
      <c r="N2481" s="59"/>
      <c r="O2481" s="60"/>
    </row>
    <row r="2482" spans="14:15" x14ac:dyDescent="0.4">
      <c r="N2482" s="59"/>
      <c r="O2482" s="60"/>
    </row>
    <row r="2483" spans="14:15" x14ac:dyDescent="0.4">
      <c r="N2483" s="59"/>
      <c r="O2483" s="60"/>
    </row>
    <row r="2484" spans="14:15" x14ac:dyDescent="0.4">
      <c r="N2484" s="59"/>
      <c r="O2484" s="60"/>
    </row>
    <row r="2485" spans="14:15" x14ac:dyDescent="0.4">
      <c r="N2485" s="59"/>
      <c r="O2485" s="60"/>
    </row>
    <row r="2486" spans="14:15" x14ac:dyDescent="0.4">
      <c r="N2486" s="59"/>
      <c r="O2486" s="60"/>
    </row>
    <row r="2487" spans="14:15" x14ac:dyDescent="0.4">
      <c r="N2487" s="59"/>
      <c r="O2487" s="60"/>
    </row>
    <row r="2488" spans="14:15" x14ac:dyDescent="0.4">
      <c r="N2488" s="59"/>
      <c r="O2488" s="60"/>
    </row>
    <row r="2489" spans="14:15" x14ac:dyDescent="0.4">
      <c r="N2489" s="59"/>
      <c r="O2489" s="60"/>
    </row>
    <row r="2490" spans="14:15" x14ac:dyDescent="0.4">
      <c r="N2490" s="59"/>
      <c r="O2490" s="60"/>
    </row>
    <row r="2491" spans="14:15" x14ac:dyDescent="0.4">
      <c r="N2491" s="59"/>
      <c r="O2491" s="60"/>
    </row>
    <row r="2492" spans="14:15" x14ac:dyDescent="0.4">
      <c r="N2492" s="59"/>
      <c r="O2492" s="60"/>
    </row>
    <row r="2493" spans="14:15" x14ac:dyDescent="0.4">
      <c r="N2493" s="59"/>
      <c r="O2493" s="60"/>
    </row>
    <row r="2494" spans="14:15" x14ac:dyDescent="0.4">
      <c r="N2494" s="59"/>
      <c r="O2494" s="60"/>
    </row>
    <row r="2495" spans="14:15" x14ac:dyDescent="0.4">
      <c r="N2495" s="59"/>
      <c r="O2495" s="60"/>
    </row>
    <row r="2496" spans="14:15" x14ac:dyDescent="0.4">
      <c r="N2496" s="59"/>
      <c r="O2496" s="60"/>
    </row>
    <row r="2497" spans="14:15" x14ac:dyDescent="0.4">
      <c r="N2497" s="59"/>
      <c r="O2497" s="60"/>
    </row>
    <row r="2498" spans="14:15" x14ac:dyDescent="0.4">
      <c r="N2498" s="59"/>
      <c r="O2498" s="60"/>
    </row>
    <row r="2499" spans="14:15" x14ac:dyDescent="0.4">
      <c r="N2499" s="59"/>
      <c r="O2499" s="60"/>
    </row>
    <row r="2500" spans="14:15" x14ac:dyDescent="0.4">
      <c r="N2500" s="59"/>
      <c r="O2500" s="60"/>
    </row>
    <row r="2501" spans="14:15" x14ac:dyDescent="0.4">
      <c r="N2501" s="59"/>
      <c r="O2501" s="60"/>
    </row>
    <row r="2502" spans="14:15" x14ac:dyDescent="0.4">
      <c r="N2502" s="59"/>
      <c r="O2502" s="60"/>
    </row>
    <row r="2503" spans="14:15" x14ac:dyDescent="0.4">
      <c r="N2503" s="59"/>
      <c r="O2503" s="60"/>
    </row>
    <row r="2504" spans="14:15" x14ac:dyDescent="0.4">
      <c r="N2504" s="59"/>
      <c r="O2504" s="60"/>
    </row>
    <row r="2505" spans="14:15" x14ac:dyDescent="0.4">
      <c r="N2505" s="59"/>
      <c r="O2505" s="60"/>
    </row>
    <row r="2506" spans="14:15" x14ac:dyDescent="0.4">
      <c r="N2506" s="59"/>
      <c r="O2506" s="60"/>
    </row>
    <row r="2507" spans="14:15" x14ac:dyDescent="0.4">
      <c r="N2507" s="59"/>
      <c r="O2507" s="60"/>
    </row>
    <row r="2508" spans="14:15" x14ac:dyDescent="0.4">
      <c r="N2508" s="59"/>
      <c r="O2508" s="60"/>
    </row>
    <row r="2509" spans="14:15" x14ac:dyDescent="0.4">
      <c r="N2509" s="59"/>
      <c r="O2509" s="60"/>
    </row>
    <row r="2510" spans="14:15" x14ac:dyDescent="0.4">
      <c r="N2510" s="59"/>
      <c r="O2510" s="60"/>
    </row>
    <row r="2511" spans="14:15" x14ac:dyDescent="0.4">
      <c r="N2511" s="59"/>
      <c r="O2511" s="60"/>
    </row>
    <row r="2512" spans="14:15" x14ac:dyDescent="0.4">
      <c r="N2512" s="59"/>
      <c r="O2512" s="60"/>
    </row>
    <row r="2513" spans="14:15" x14ac:dyDescent="0.4">
      <c r="N2513" s="59"/>
      <c r="O2513" s="60"/>
    </row>
    <row r="2514" spans="14:15" x14ac:dyDescent="0.4">
      <c r="N2514" s="59"/>
      <c r="O2514" s="60"/>
    </row>
    <row r="2515" spans="14:15" x14ac:dyDescent="0.4">
      <c r="N2515" s="59"/>
      <c r="O2515" s="60"/>
    </row>
    <row r="2516" spans="14:15" x14ac:dyDescent="0.4">
      <c r="N2516" s="59"/>
      <c r="O2516" s="60"/>
    </row>
    <row r="2517" spans="14:15" x14ac:dyDescent="0.4">
      <c r="N2517" s="59"/>
      <c r="O2517" s="60"/>
    </row>
    <row r="2518" spans="14:15" x14ac:dyDescent="0.4">
      <c r="N2518" s="59"/>
      <c r="O2518" s="60"/>
    </row>
    <row r="2519" spans="14:15" x14ac:dyDescent="0.4">
      <c r="N2519" s="59"/>
      <c r="O2519" s="60"/>
    </row>
    <row r="2520" spans="14:15" x14ac:dyDescent="0.4">
      <c r="N2520" s="59"/>
      <c r="O2520" s="60"/>
    </row>
    <row r="2521" spans="14:15" x14ac:dyDescent="0.4">
      <c r="N2521" s="59"/>
      <c r="O2521" s="60"/>
    </row>
    <row r="2522" spans="14:15" x14ac:dyDescent="0.4">
      <c r="N2522" s="59"/>
      <c r="O2522" s="60"/>
    </row>
    <row r="2523" spans="14:15" x14ac:dyDescent="0.4">
      <c r="N2523" s="59"/>
      <c r="O2523" s="60"/>
    </row>
    <row r="2524" spans="14:15" x14ac:dyDescent="0.4">
      <c r="N2524" s="59"/>
      <c r="O2524" s="60"/>
    </row>
    <row r="2525" spans="14:15" x14ac:dyDescent="0.4">
      <c r="N2525" s="59"/>
      <c r="O2525" s="60"/>
    </row>
    <row r="2526" spans="14:15" x14ac:dyDescent="0.4">
      <c r="N2526" s="59"/>
      <c r="O2526" s="60"/>
    </row>
    <row r="2527" spans="14:15" x14ac:dyDescent="0.4">
      <c r="N2527" s="59"/>
      <c r="O2527" s="60"/>
    </row>
    <row r="2528" spans="14:15" x14ac:dyDescent="0.4">
      <c r="N2528" s="59"/>
      <c r="O2528" s="60"/>
    </row>
    <row r="2529" spans="14:15" x14ac:dyDescent="0.4">
      <c r="N2529" s="59"/>
      <c r="O2529" s="60"/>
    </row>
    <row r="2530" spans="14:15" x14ac:dyDescent="0.4">
      <c r="N2530" s="59"/>
      <c r="O2530" s="60"/>
    </row>
    <row r="2531" spans="14:15" x14ac:dyDescent="0.4">
      <c r="N2531" s="59"/>
      <c r="O2531" s="60"/>
    </row>
    <row r="2532" spans="14:15" x14ac:dyDescent="0.4">
      <c r="N2532" s="59"/>
      <c r="O2532" s="60"/>
    </row>
    <row r="2533" spans="14:15" x14ac:dyDescent="0.4">
      <c r="N2533" s="59"/>
      <c r="O2533" s="60"/>
    </row>
    <row r="2534" spans="14:15" x14ac:dyDescent="0.4">
      <c r="N2534" s="59"/>
      <c r="O2534" s="60"/>
    </row>
    <row r="2535" spans="14:15" x14ac:dyDescent="0.4">
      <c r="N2535" s="59"/>
      <c r="O2535" s="60"/>
    </row>
    <row r="2536" spans="14:15" x14ac:dyDescent="0.4">
      <c r="N2536" s="59"/>
      <c r="O2536" s="60"/>
    </row>
    <row r="2537" spans="14:15" x14ac:dyDescent="0.4">
      <c r="N2537" s="59"/>
      <c r="O2537" s="60"/>
    </row>
    <row r="2538" spans="14:15" x14ac:dyDescent="0.4">
      <c r="N2538" s="59"/>
      <c r="O2538" s="60"/>
    </row>
    <row r="2539" spans="14:15" x14ac:dyDescent="0.4">
      <c r="N2539" s="59"/>
      <c r="O2539" s="60"/>
    </row>
    <row r="2540" spans="14:15" x14ac:dyDescent="0.4">
      <c r="N2540" s="59"/>
      <c r="O2540" s="60"/>
    </row>
    <row r="2541" spans="14:15" x14ac:dyDescent="0.4">
      <c r="N2541" s="59"/>
      <c r="O2541" s="60"/>
    </row>
    <row r="2542" spans="14:15" x14ac:dyDescent="0.4">
      <c r="N2542" s="59"/>
      <c r="O2542" s="60"/>
    </row>
    <row r="2543" spans="14:15" x14ac:dyDescent="0.4">
      <c r="N2543" s="59"/>
      <c r="O2543" s="60"/>
    </row>
    <row r="2544" spans="14:15" x14ac:dyDescent="0.4">
      <c r="N2544" s="59"/>
      <c r="O2544" s="60"/>
    </row>
    <row r="2545" spans="14:15" x14ac:dyDescent="0.4">
      <c r="N2545" s="59"/>
      <c r="O2545" s="60"/>
    </row>
    <row r="2546" spans="14:15" x14ac:dyDescent="0.4">
      <c r="N2546" s="59"/>
      <c r="O2546" s="60"/>
    </row>
    <row r="2547" spans="14:15" x14ac:dyDescent="0.4">
      <c r="N2547" s="59"/>
      <c r="O2547" s="60"/>
    </row>
    <row r="2548" spans="14:15" x14ac:dyDescent="0.4">
      <c r="N2548" s="59"/>
      <c r="O2548" s="60"/>
    </row>
    <row r="2549" spans="14:15" x14ac:dyDescent="0.4">
      <c r="N2549" s="59"/>
      <c r="O2549" s="60"/>
    </row>
    <row r="2550" spans="14:15" x14ac:dyDescent="0.4">
      <c r="N2550" s="59"/>
      <c r="O2550" s="60"/>
    </row>
    <row r="2551" spans="14:15" x14ac:dyDescent="0.4">
      <c r="N2551" s="59"/>
      <c r="O2551" s="60"/>
    </row>
    <row r="2552" spans="14:15" x14ac:dyDescent="0.4">
      <c r="N2552" s="59"/>
      <c r="O2552" s="60"/>
    </row>
    <row r="2553" spans="14:15" x14ac:dyDescent="0.4">
      <c r="N2553" s="59"/>
      <c r="O2553" s="60"/>
    </row>
    <row r="2554" spans="14:15" x14ac:dyDescent="0.4">
      <c r="N2554" s="59"/>
      <c r="O2554" s="60"/>
    </row>
    <row r="2555" spans="14:15" x14ac:dyDescent="0.4">
      <c r="N2555" s="59"/>
      <c r="O2555" s="60"/>
    </row>
    <row r="2556" spans="14:15" x14ac:dyDescent="0.4">
      <c r="N2556" s="59"/>
      <c r="O2556" s="60"/>
    </row>
    <row r="2557" spans="14:15" x14ac:dyDescent="0.4">
      <c r="N2557" s="59"/>
      <c r="O2557" s="60"/>
    </row>
    <row r="2558" spans="14:15" x14ac:dyDescent="0.4">
      <c r="N2558" s="59"/>
      <c r="O2558" s="60"/>
    </row>
    <row r="2559" spans="14:15" x14ac:dyDescent="0.4">
      <c r="N2559" s="59"/>
      <c r="O2559" s="60"/>
    </row>
    <row r="2560" spans="14:15" x14ac:dyDescent="0.4">
      <c r="N2560" s="59"/>
      <c r="O2560" s="60"/>
    </row>
    <row r="2561" spans="14:15" x14ac:dyDescent="0.4">
      <c r="N2561" s="59"/>
      <c r="O2561" s="60"/>
    </row>
    <row r="2562" spans="14:15" x14ac:dyDescent="0.4">
      <c r="N2562" s="59"/>
      <c r="O2562" s="60"/>
    </row>
    <row r="2563" spans="14:15" x14ac:dyDescent="0.4">
      <c r="N2563" s="59"/>
      <c r="O2563" s="60"/>
    </row>
    <row r="2564" spans="14:15" x14ac:dyDescent="0.4">
      <c r="N2564" s="59"/>
      <c r="O2564" s="60"/>
    </row>
    <row r="2565" spans="14:15" x14ac:dyDescent="0.4">
      <c r="N2565" s="59"/>
      <c r="O2565" s="60"/>
    </row>
    <row r="2566" spans="14:15" x14ac:dyDescent="0.4">
      <c r="N2566" s="59"/>
      <c r="O2566" s="60"/>
    </row>
    <row r="2567" spans="14:15" x14ac:dyDescent="0.4">
      <c r="N2567" s="59"/>
      <c r="O2567" s="60"/>
    </row>
    <row r="2568" spans="14:15" x14ac:dyDescent="0.4">
      <c r="N2568" s="59"/>
      <c r="O2568" s="60"/>
    </row>
    <row r="2569" spans="14:15" x14ac:dyDescent="0.4">
      <c r="N2569" s="59"/>
      <c r="O2569" s="60"/>
    </row>
    <row r="2570" spans="14:15" x14ac:dyDescent="0.4">
      <c r="N2570" s="59"/>
      <c r="O2570" s="60"/>
    </row>
    <row r="2571" spans="14:15" x14ac:dyDescent="0.4">
      <c r="N2571" s="59"/>
      <c r="O2571" s="60"/>
    </row>
    <row r="2572" spans="14:15" x14ac:dyDescent="0.4">
      <c r="N2572" s="59"/>
      <c r="O2572" s="60"/>
    </row>
    <row r="2573" spans="14:15" x14ac:dyDescent="0.4">
      <c r="N2573" s="59"/>
      <c r="O2573" s="60"/>
    </row>
    <row r="2574" spans="14:15" x14ac:dyDescent="0.4">
      <c r="N2574" s="59"/>
      <c r="O2574" s="60"/>
    </row>
    <row r="2575" spans="14:15" x14ac:dyDescent="0.4">
      <c r="N2575" s="59"/>
      <c r="O2575" s="60"/>
    </row>
    <row r="2576" spans="14:15" x14ac:dyDescent="0.4">
      <c r="N2576" s="59"/>
      <c r="O2576" s="60"/>
    </row>
    <row r="2577" spans="14:15" x14ac:dyDescent="0.4">
      <c r="N2577" s="59"/>
      <c r="O2577" s="60"/>
    </row>
    <row r="2578" spans="14:15" x14ac:dyDescent="0.4">
      <c r="N2578" s="59"/>
      <c r="O2578" s="60"/>
    </row>
    <row r="2579" spans="14:15" x14ac:dyDescent="0.4">
      <c r="N2579" s="59"/>
      <c r="O2579" s="60"/>
    </row>
    <row r="2580" spans="14:15" x14ac:dyDescent="0.4">
      <c r="N2580" s="59"/>
      <c r="O2580" s="60"/>
    </row>
    <row r="2581" spans="14:15" x14ac:dyDescent="0.4">
      <c r="N2581" s="59"/>
      <c r="O2581" s="60"/>
    </row>
    <row r="2582" spans="14:15" x14ac:dyDescent="0.4">
      <c r="N2582" s="59"/>
      <c r="O2582" s="60"/>
    </row>
    <row r="2583" spans="14:15" x14ac:dyDescent="0.4">
      <c r="N2583" s="59"/>
      <c r="O2583" s="60"/>
    </row>
    <row r="2584" spans="14:15" x14ac:dyDescent="0.4">
      <c r="N2584" s="59"/>
      <c r="O2584" s="60"/>
    </row>
    <row r="2585" spans="14:15" x14ac:dyDescent="0.4">
      <c r="N2585" s="59"/>
      <c r="O2585" s="60"/>
    </row>
    <row r="2586" spans="14:15" x14ac:dyDescent="0.4">
      <c r="N2586" s="59"/>
      <c r="O2586" s="60"/>
    </row>
    <row r="2587" spans="14:15" x14ac:dyDescent="0.4">
      <c r="N2587" s="59"/>
      <c r="O2587" s="60"/>
    </row>
    <row r="2588" spans="14:15" x14ac:dyDescent="0.4">
      <c r="N2588" s="59"/>
      <c r="O2588" s="60"/>
    </row>
    <row r="2589" spans="14:15" x14ac:dyDescent="0.4">
      <c r="N2589" s="59"/>
      <c r="O2589" s="60"/>
    </row>
    <row r="2590" spans="14:15" x14ac:dyDescent="0.4">
      <c r="N2590" s="59"/>
      <c r="O2590" s="60"/>
    </row>
    <row r="2591" spans="14:15" x14ac:dyDescent="0.4">
      <c r="N2591" s="59"/>
      <c r="O2591" s="60"/>
    </row>
    <row r="2592" spans="14:15" x14ac:dyDescent="0.4">
      <c r="N2592" s="59"/>
      <c r="O2592" s="60"/>
    </row>
    <row r="2593" spans="14:15" x14ac:dyDescent="0.4">
      <c r="N2593" s="59"/>
      <c r="O2593" s="60"/>
    </row>
    <row r="2594" spans="14:15" x14ac:dyDescent="0.4">
      <c r="N2594" s="59"/>
      <c r="O2594" s="60"/>
    </row>
    <row r="2595" spans="14:15" x14ac:dyDescent="0.4">
      <c r="N2595" s="59"/>
      <c r="O2595" s="60"/>
    </row>
    <row r="2596" spans="14:15" x14ac:dyDescent="0.4">
      <c r="N2596" s="59"/>
      <c r="O2596" s="60"/>
    </row>
    <row r="2597" spans="14:15" x14ac:dyDescent="0.4">
      <c r="N2597" s="59"/>
      <c r="O2597" s="60"/>
    </row>
    <row r="2598" spans="14:15" x14ac:dyDescent="0.4">
      <c r="N2598" s="59"/>
      <c r="O2598" s="60"/>
    </row>
    <row r="2599" spans="14:15" x14ac:dyDescent="0.4">
      <c r="N2599" s="59"/>
      <c r="O2599" s="60"/>
    </row>
    <row r="2600" spans="14:15" x14ac:dyDescent="0.4">
      <c r="N2600" s="59"/>
      <c r="O2600" s="60"/>
    </row>
    <row r="2601" spans="14:15" x14ac:dyDescent="0.4">
      <c r="N2601" s="59"/>
      <c r="O2601" s="60"/>
    </row>
    <row r="2602" spans="14:15" x14ac:dyDescent="0.4">
      <c r="N2602" s="59"/>
      <c r="O2602" s="60"/>
    </row>
    <row r="2603" spans="14:15" x14ac:dyDescent="0.4">
      <c r="N2603" s="59"/>
      <c r="O2603" s="60"/>
    </row>
    <row r="2604" spans="14:15" x14ac:dyDescent="0.4">
      <c r="N2604" s="59"/>
      <c r="O2604" s="60"/>
    </row>
    <row r="2605" spans="14:15" x14ac:dyDescent="0.4">
      <c r="N2605" s="59"/>
      <c r="O2605" s="60"/>
    </row>
    <row r="2606" spans="14:15" x14ac:dyDescent="0.4">
      <c r="N2606" s="59"/>
      <c r="O2606" s="60"/>
    </row>
    <row r="2607" spans="14:15" x14ac:dyDescent="0.4">
      <c r="N2607" s="59"/>
      <c r="O2607" s="60"/>
    </row>
    <row r="2608" spans="14:15" x14ac:dyDescent="0.4">
      <c r="N2608" s="59"/>
      <c r="O2608" s="60"/>
    </row>
    <row r="2609" spans="14:15" x14ac:dyDescent="0.4">
      <c r="N2609" s="59"/>
      <c r="O2609" s="60"/>
    </row>
    <row r="2610" spans="14:15" x14ac:dyDescent="0.4">
      <c r="N2610" s="59"/>
      <c r="O2610" s="60"/>
    </row>
    <row r="2611" spans="14:15" x14ac:dyDescent="0.4">
      <c r="N2611" s="59"/>
      <c r="O2611" s="60"/>
    </row>
    <row r="2612" spans="14:15" x14ac:dyDescent="0.4">
      <c r="N2612" s="59"/>
      <c r="O2612" s="60"/>
    </row>
    <row r="2613" spans="14:15" x14ac:dyDescent="0.4">
      <c r="N2613" s="59"/>
      <c r="O2613" s="60"/>
    </row>
    <row r="2614" spans="14:15" x14ac:dyDescent="0.4">
      <c r="N2614" s="59"/>
      <c r="O2614" s="60"/>
    </row>
    <row r="2615" spans="14:15" x14ac:dyDescent="0.4">
      <c r="N2615" s="59"/>
      <c r="O2615" s="60"/>
    </row>
    <row r="2616" spans="14:15" x14ac:dyDescent="0.4">
      <c r="N2616" s="59"/>
      <c r="O2616" s="60"/>
    </row>
    <row r="2617" spans="14:15" x14ac:dyDescent="0.4">
      <c r="N2617" s="59"/>
      <c r="O2617" s="60"/>
    </row>
    <row r="2618" spans="14:15" x14ac:dyDescent="0.4">
      <c r="N2618" s="59"/>
      <c r="O2618" s="60"/>
    </row>
    <row r="2619" spans="14:15" x14ac:dyDescent="0.4">
      <c r="N2619" s="59"/>
      <c r="O2619" s="60"/>
    </row>
    <row r="2620" spans="14:15" x14ac:dyDescent="0.4">
      <c r="N2620" s="59"/>
      <c r="O2620" s="60"/>
    </row>
    <row r="2621" spans="14:15" x14ac:dyDescent="0.4">
      <c r="N2621" s="59"/>
      <c r="O2621" s="60"/>
    </row>
    <row r="2622" spans="14:15" x14ac:dyDescent="0.4">
      <c r="N2622" s="59"/>
      <c r="O2622" s="60"/>
    </row>
    <row r="2623" spans="14:15" x14ac:dyDescent="0.4">
      <c r="N2623" s="59"/>
      <c r="O2623" s="60"/>
    </row>
    <row r="2624" spans="14:15" x14ac:dyDescent="0.4">
      <c r="N2624" s="59"/>
      <c r="O2624" s="60"/>
    </row>
    <row r="2625" spans="14:15" x14ac:dyDescent="0.4">
      <c r="N2625" s="59"/>
      <c r="O2625" s="60"/>
    </row>
    <row r="2626" spans="14:15" x14ac:dyDescent="0.4">
      <c r="N2626" s="59"/>
      <c r="O2626" s="60"/>
    </row>
    <row r="2627" spans="14:15" x14ac:dyDescent="0.4">
      <c r="N2627" s="59"/>
      <c r="O2627" s="60"/>
    </row>
    <row r="2628" spans="14:15" x14ac:dyDescent="0.4">
      <c r="N2628" s="59"/>
      <c r="O2628" s="60"/>
    </row>
    <row r="2629" spans="14:15" x14ac:dyDescent="0.4">
      <c r="N2629" s="59"/>
      <c r="O2629" s="60"/>
    </row>
    <row r="2630" spans="14:15" x14ac:dyDescent="0.4">
      <c r="N2630" s="59"/>
      <c r="O2630" s="60"/>
    </row>
    <row r="2631" spans="14:15" x14ac:dyDescent="0.4">
      <c r="N2631" s="59"/>
      <c r="O2631" s="60"/>
    </row>
    <row r="2632" spans="14:15" x14ac:dyDescent="0.4">
      <c r="N2632" s="59"/>
      <c r="O2632" s="60"/>
    </row>
    <row r="2633" spans="14:15" x14ac:dyDescent="0.4">
      <c r="N2633" s="59"/>
      <c r="O2633" s="60"/>
    </row>
    <row r="2634" spans="14:15" x14ac:dyDescent="0.4">
      <c r="N2634" s="59"/>
      <c r="O2634" s="60"/>
    </row>
    <row r="2635" spans="14:15" x14ac:dyDescent="0.4">
      <c r="N2635" s="59"/>
      <c r="O2635" s="60"/>
    </row>
    <row r="2636" spans="14:15" x14ac:dyDescent="0.4">
      <c r="N2636" s="59"/>
      <c r="O2636" s="60"/>
    </row>
    <row r="2637" spans="14:15" x14ac:dyDescent="0.4">
      <c r="N2637" s="59"/>
      <c r="O2637" s="60"/>
    </row>
    <row r="2638" spans="14:15" x14ac:dyDescent="0.4">
      <c r="N2638" s="59"/>
      <c r="O2638" s="60"/>
    </row>
    <row r="2639" spans="14:15" x14ac:dyDescent="0.4">
      <c r="N2639" s="59"/>
      <c r="O2639" s="60"/>
    </row>
    <row r="2640" spans="14:15" x14ac:dyDescent="0.4">
      <c r="N2640" s="59"/>
      <c r="O2640" s="60"/>
    </row>
    <row r="2641" spans="14:15" x14ac:dyDescent="0.4">
      <c r="N2641" s="59"/>
      <c r="O2641" s="60"/>
    </row>
    <row r="2642" spans="14:15" x14ac:dyDescent="0.4">
      <c r="N2642" s="59"/>
      <c r="O2642" s="60"/>
    </row>
    <row r="2643" spans="14:15" x14ac:dyDescent="0.4">
      <c r="N2643" s="59"/>
      <c r="O2643" s="60"/>
    </row>
    <row r="2644" spans="14:15" x14ac:dyDescent="0.4">
      <c r="N2644" s="59"/>
      <c r="O2644" s="60"/>
    </row>
    <row r="2645" spans="14:15" x14ac:dyDescent="0.4">
      <c r="N2645" s="59"/>
      <c r="O2645" s="60"/>
    </row>
    <row r="2646" spans="14:15" x14ac:dyDescent="0.4">
      <c r="N2646" s="59"/>
      <c r="O2646" s="60"/>
    </row>
    <row r="2647" spans="14:15" x14ac:dyDescent="0.4">
      <c r="N2647" s="59"/>
      <c r="O2647" s="60"/>
    </row>
    <row r="2648" spans="14:15" x14ac:dyDescent="0.4">
      <c r="N2648" s="59"/>
      <c r="O2648" s="60"/>
    </row>
    <row r="2649" spans="14:15" x14ac:dyDescent="0.4">
      <c r="N2649" s="59"/>
      <c r="O2649" s="60"/>
    </row>
    <row r="2650" spans="14:15" x14ac:dyDescent="0.4">
      <c r="N2650" s="59"/>
      <c r="O2650" s="60"/>
    </row>
    <row r="2651" spans="14:15" x14ac:dyDescent="0.4">
      <c r="N2651" s="59"/>
      <c r="O2651" s="60"/>
    </row>
    <row r="2652" spans="14:15" x14ac:dyDescent="0.4">
      <c r="N2652" s="59"/>
      <c r="O2652" s="60"/>
    </row>
    <row r="2653" spans="14:15" x14ac:dyDescent="0.4">
      <c r="N2653" s="59"/>
      <c r="O2653" s="60"/>
    </row>
    <row r="2654" spans="14:15" x14ac:dyDescent="0.4">
      <c r="N2654" s="59"/>
      <c r="O2654" s="60"/>
    </row>
    <row r="2655" spans="14:15" x14ac:dyDescent="0.4">
      <c r="N2655" s="59"/>
      <c r="O2655" s="60"/>
    </row>
    <row r="2656" spans="14:15" x14ac:dyDescent="0.4">
      <c r="N2656" s="59"/>
      <c r="O2656" s="60"/>
    </row>
    <row r="2657" spans="14:15" x14ac:dyDescent="0.4">
      <c r="N2657" s="59"/>
      <c r="O2657" s="60"/>
    </row>
    <row r="2658" spans="14:15" x14ac:dyDescent="0.4">
      <c r="N2658" s="59"/>
      <c r="O2658" s="60"/>
    </row>
    <row r="2659" spans="14:15" x14ac:dyDescent="0.4">
      <c r="N2659" s="59"/>
      <c r="O2659" s="60"/>
    </row>
    <row r="2660" spans="14:15" x14ac:dyDescent="0.4">
      <c r="N2660" s="59"/>
      <c r="O2660" s="60"/>
    </row>
    <row r="2661" spans="14:15" x14ac:dyDescent="0.4">
      <c r="N2661" s="59"/>
      <c r="O2661" s="60"/>
    </row>
    <row r="2662" spans="14:15" x14ac:dyDescent="0.4">
      <c r="N2662" s="59"/>
      <c r="O2662" s="60"/>
    </row>
    <row r="2663" spans="14:15" x14ac:dyDescent="0.4">
      <c r="N2663" s="59"/>
      <c r="O2663" s="60"/>
    </row>
    <row r="2664" spans="14:15" x14ac:dyDescent="0.4">
      <c r="N2664" s="59"/>
      <c r="O2664" s="60"/>
    </row>
    <row r="2665" spans="14:15" x14ac:dyDescent="0.4">
      <c r="N2665" s="59"/>
      <c r="O2665" s="60"/>
    </row>
    <row r="2666" spans="14:15" x14ac:dyDescent="0.4">
      <c r="N2666" s="59"/>
      <c r="O2666" s="60"/>
    </row>
    <row r="2667" spans="14:15" x14ac:dyDescent="0.4">
      <c r="N2667" s="59"/>
      <c r="O2667" s="60"/>
    </row>
    <row r="2668" spans="14:15" x14ac:dyDescent="0.4">
      <c r="N2668" s="59"/>
      <c r="O2668" s="60"/>
    </row>
    <row r="2669" spans="14:15" x14ac:dyDescent="0.4">
      <c r="N2669" s="59"/>
      <c r="O2669" s="60"/>
    </row>
    <row r="2670" spans="14:15" x14ac:dyDescent="0.4">
      <c r="N2670" s="59"/>
      <c r="O2670" s="60"/>
    </row>
    <row r="2671" spans="14:15" x14ac:dyDescent="0.4">
      <c r="N2671" s="59"/>
      <c r="O2671" s="60"/>
    </row>
    <row r="2672" spans="14:15" x14ac:dyDescent="0.4">
      <c r="N2672" s="59"/>
      <c r="O2672" s="60"/>
    </row>
    <row r="2673" spans="14:15" x14ac:dyDescent="0.4">
      <c r="N2673" s="59"/>
      <c r="O2673" s="60"/>
    </row>
    <row r="2674" spans="14:15" x14ac:dyDescent="0.4">
      <c r="N2674" s="59"/>
      <c r="O2674" s="60"/>
    </row>
    <row r="2675" spans="14:15" x14ac:dyDescent="0.4">
      <c r="N2675" s="59"/>
      <c r="O2675" s="60"/>
    </row>
    <row r="2676" spans="14:15" x14ac:dyDescent="0.4">
      <c r="N2676" s="59"/>
      <c r="O2676" s="60"/>
    </row>
    <row r="2677" spans="14:15" x14ac:dyDescent="0.4">
      <c r="N2677" s="59"/>
      <c r="O2677" s="60"/>
    </row>
    <row r="2678" spans="14:15" x14ac:dyDescent="0.4">
      <c r="N2678" s="59"/>
      <c r="O2678" s="60"/>
    </row>
    <row r="2679" spans="14:15" x14ac:dyDescent="0.4">
      <c r="N2679" s="59"/>
      <c r="O2679" s="60"/>
    </row>
    <row r="2680" spans="14:15" x14ac:dyDescent="0.4">
      <c r="N2680" s="59"/>
      <c r="O2680" s="60"/>
    </row>
    <row r="2681" spans="14:15" x14ac:dyDescent="0.4">
      <c r="N2681" s="59"/>
      <c r="O2681" s="60"/>
    </row>
    <row r="2682" spans="14:15" x14ac:dyDescent="0.4">
      <c r="N2682" s="59"/>
      <c r="O2682" s="60"/>
    </row>
    <row r="2683" spans="14:15" x14ac:dyDescent="0.4">
      <c r="N2683" s="59"/>
      <c r="O2683" s="60"/>
    </row>
    <row r="2684" spans="14:15" x14ac:dyDescent="0.4">
      <c r="N2684" s="59"/>
      <c r="O2684" s="60"/>
    </row>
    <row r="2685" spans="14:15" x14ac:dyDescent="0.4">
      <c r="N2685" s="59"/>
      <c r="O2685" s="60"/>
    </row>
    <row r="2686" spans="14:15" x14ac:dyDescent="0.4">
      <c r="N2686" s="59"/>
      <c r="O2686" s="60"/>
    </row>
    <row r="2687" spans="14:15" x14ac:dyDescent="0.4">
      <c r="N2687" s="59"/>
      <c r="O2687" s="60"/>
    </row>
    <row r="2688" spans="14:15" x14ac:dyDescent="0.4">
      <c r="N2688" s="59"/>
      <c r="O2688" s="60"/>
    </row>
    <row r="2689" spans="14:15" x14ac:dyDescent="0.4">
      <c r="N2689" s="59"/>
      <c r="O2689" s="60"/>
    </row>
    <row r="2690" spans="14:15" x14ac:dyDescent="0.4">
      <c r="N2690" s="59"/>
      <c r="O2690" s="60"/>
    </row>
    <row r="2691" spans="14:15" x14ac:dyDescent="0.4">
      <c r="N2691" s="59"/>
      <c r="O2691" s="60"/>
    </row>
    <row r="2692" spans="14:15" x14ac:dyDescent="0.4">
      <c r="N2692" s="59"/>
      <c r="O2692" s="60"/>
    </row>
    <row r="2693" spans="14:15" x14ac:dyDescent="0.4">
      <c r="N2693" s="59"/>
      <c r="O2693" s="60"/>
    </row>
    <row r="2694" spans="14:15" x14ac:dyDescent="0.4">
      <c r="N2694" s="59"/>
      <c r="O2694" s="60"/>
    </row>
    <row r="2695" spans="14:15" x14ac:dyDescent="0.4">
      <c r="N2695" s="59"/>
      <c r="O2695" s="60"/>
    </row>
    <row r="2696" spans="14:15" x14ac:dyDescent="0.4">
      <c r="N2696" s="59"/>
      <c r="O2696" s="60"/>
    </row>
    <row r="2697" spans="14:15" x14ac:dyDescent="0.4">
      <c r="N2697" s="59"/>
      <c r="O2697" s="60"/>
    </row>
    <row r="2698" spans="14:15" x14ac:dyDescent="0.4">
      <c r="N2698" s="59"/>
      <c r="O2698" s="60"/>
    </row>
    <row r="2699" spans="14:15" x14ac:dyDescent="0.4">
      <c r="N2699" s="59"/>
      <c r="O2699" s="60"/>
    </row>
    <row r="2700" spans="14:15" x14ac:dyDescent="0.4">
      <c r="N2700" s="59"/>
      <c r="O2700" s="60"/>
    </row>
    <row r="2701" spans="14:15" x14ac:dyDescent="0.4">
      <c r="N2701" s="59"/>
      <c r="O2701" s="60"/>
    </row>
    <row r="2702" spans="14:15" x14ac:dyDescent="0.4">
      <c r="N2702" s="59"/>
      <c r="O2702" s="60"/>
    </row>
    <row r="2703" spans="14:15" x14ac:dyDescent="0.4">
      <c r="N2703" s="59"/>
      <c r="O2703" s="60"/>
    </row>
    <row r="2704" spans="14:15" x14ac:dyDescent="0.4">
      <c r="N2704" s="59"/>
      <c r="O2704" s="60"/>
    </row>
    <row r="2705" spans="14:15" x14ac:dyDescent="0.4">
      <c r="N2705" s="59"/>
      <c r="O2705" s="60"/>
    </row>
    <row r="2706" spans="14:15" x14ac:dyDescent="0.4">
      <c r="N2706" s="59"/>
      <c r="O2706" s="60"/>
    </row>
    <row r="2707" spans="14:15" x14ac:dyDescent="0.4">
      <c r="N2707" s="59"/>
      <c r="O2707" s="60"/>
    </row>
    <row r="2708" spans="14:15" x14ac:dyDescent="0.4">
      <c r="N2708" s="59"/>
      <c r="O2708" s="60"/>
    </row>
    <row r="2709" spans="14:15" x14ac:dyDescent="0.4">
      <c r="N2709" s="59"/>
      <c r="O2709" s="60"/>
    </row>
    <row r="2710" spans="14:15" x14ac:dyDescent="0.4">
      <c r="N2710" s="59"/>
      <c r="O2710" s="60"/>
    </row>
    <row r="2711" spans="14:15" x14ac:dyDescent="0.4">
      <c r="N2711" s="59"/>
      <c r="O2711" s="60"/>
    </row>
    <row r="2712" spans="14:15" x14ac:dyDescent="0.4">
      <c r="N2712" s="59"/>
      <c r="O2712" s="60"/>
    </row>
    <row r="2713" spans="14:15" x14ac:dyDescent="0.4">
      <c r="N2713" s="59"/>
      <c r="O2713" s="60"/>
    </row>
    <row r="2714" spans="14:15" x14ac:dyDescent="0.4">
      <c r="N2714" s="59"/>
      <c r="O2714" s="60"/>
    </row>
    <row r="2715" spans="14:15" x14ac:dyDescent="0.4">
      <c r="N2715" s="59"/>
      <c r="O2715" s="60"/>
    </row>
    <row r="2716" spans="14:15" x14ac:dyDescent="0.4">
      <c r="N2716" s="59"/>
      <c r="O2716" s="60"/>
    </row>
    <row r="2717" spans="14:15" x14ac:dyDescent="0.4">
      <c r="N2717" s="59"/>
      <c r="O2717" s="60"/>
    </row>
    <row r="2718" spans="14:15" x14ac:dyDescent="0.4">
      <c r="N2718" s="59"/>
      <c r="O2718" s="60"/>
    </row>
    <row r="2719" spans="14:15" x14ac:dyDescent="0.4">
      <c r="N2719" s="59"/>
      <c r="O2719" s="60"/>
    </row>
    <row r="2720" spans="14:15" x14ac:dyDescent="0.4">
      <c r="N2720" s="59"/>
      <c r="O2720" s="60"/>
    </row>
    <row r="2721" spans="14:15" x14ac:dyDescent="0.4">
      <c r="N2721" s="59"/>
      <c r="O2721" s="60"/>
    </row>
    <row r="2722" spans="14:15" x14ac:dyDescent="0.4">
      <c r="N2722" s="59"/>
      <c r="O2722" s="60"/>
    </row>
    <row r="2723" spans="14:15" x14ac:dyDescent="0.4">
      <c r="N2723" s="59"/>
      <c r="O2723" s="60"/>
    </row>
    <row r="2724" spans="14:15" x14ac:dyDescent="0.4">
      <c r="N2724" s="59"/>
      <c r="O2724" s="60"/>
    </row>
    <row r="2725" spans="14:15" x14ac:dyDescent="0.4">
      <c r="N2725" s="59"/>
      <c r="O2725" s="60"/>
    </row>
    <row r="2726" spans="14:15" x14ac:dyDescent="0.4">
      <c r="N2726" s="59"/>
      <c r="O2726" s="60"/>
    </row>
    <row r="2727" spans="14:15" x14ac:dyDescent="0.4">
      <c r="N2727" s="59"/>
      <c r="O2727" s="60"/>
    </row>
    <row r="2728" spans="14:15" x14ac:dyDescent="0.4">
      <c r="N2728" s="59"/>
      <c r="O2728" s="60"/>
    </row>
    <row r="2729" spans="14:15" x14ac:dyDescent="0.4">
      <c r="N2729" s="59"/>
      <c r="O2729" s="60"/>
    </row>
    <row r="2730" spans="14:15" x14ac:dyDescent="0.4">
      <c r="N2730" s="59"/>
      <c r="O2730" s="60"/>
    </row>
    <row r="2731" spans="14:15" x14ac:dyDescent="0.4">
      <c r="N2731" s="59"/>
      <c r="O2731" s="60"/>
    </row>
    <row r="2732" spans="14:15" x14ac:dyDescent="0.4">
      <c r="N2732" s="59"/>
      <c r="O2732" s="60"/>
    </row>
    <row r="2733" spans="14:15" x14ac:dyDescent="0.4">
      <c r="N2733" s="59"/>
      <c r="O2733" s="60"/>
    </row>
    <row r="2734" spans="14:15" x14ac:dyDescent="0.4">
      <c r="N2734" s="59"/>
      <c r="O2734" s="60"/>
    </row>
    <row r="2735" spans="14:15" x14ac:dyDescent="0.4">
      <c r="N2735" s="59"/>
      <c r="O2735" s="60"/>
    </row>
    <row r="2736" spans="14:15" x14ac:dyDescent="0.4">
      <c r="N2736" s="59"/>
      <c r="O2736" s="60"/>
    </row>
    <row r="2737" spans="14:15" x14ac:dyDescent="0.4">
      <c r="N2737" s="59"/>
      <c r="O2737" s="60"/>
    </row>
    <row r="2738" spans="14:15" x14ac:dyDescent="0.4">
      <c r="N2738" s="59"/>
      <c r="O2738" s="60"/>
    </row>
    <row r="2739" spans="14:15" x14ac:dyDescent="0.4">
      <c r="N2739" s="59"/>
      <c r="O2739" s="60"/>
    </row>
    <row r="2740" spans="14:15" x14ac:dyDescent="0.4">
      <c r="N2740" s="59"/>
      <c r="O2740" s="60"/>
    </row>
    <row r="2741" spans="14:15" x14ac:dyDescent="0.4">
      <c r="N2741" s="59"/>
      <c r="O2741" s="60"/>
    </row>
    <row r="2742" spans="14:15" x14ac:dyDescent="0.4">
      <c r="N2742" s="59"/>
      <c r="O2742" s="60"/>
    </row>
    <row r="2743" spans="14:15" x14ac:dyDescent="0.4">
      <c r="N2743" s="59"/>
      <c r="O2743" s="60"/>
    </row>
    <row r="2744" spans="14:15" x14ac:dyDescent="0.4">
      <c r="N2744" s="59"/>
      <c r="O2744" s="60"/>
    </row>
    <row r="2745" spans="14:15" x14ac:dyDescent="0.4">
      <c r="N2745" s="59"/>
      <c r="O2745" s="60"/>
    </row>
    <row r="2746" spans="14:15" x14ac:dyDescent="0.4">
      <c r="N2746" s="59"/>
      <c r="O2746" s="60"/>
    </row>
    <row r="2747" spans="14:15" x14ac:dyDescent="0.4">
      <c r="N2747" s="59"/>
      <c r="O2747" s="60"/>
    </row>
    <row r="2748" spans="14:15" x14ac:dyDescent="0.4">
      <c r="N2748" s="59"/>
      <c r="O2748" s="60"/>
    </row>
    <row r="2749" spans="14:15" x14ac:dyDescent="0.4">
      <c r="N2749" s="59"/>
      <c r="O2749" s="60"/>
    </row>
    <row r="2750" spans="14:15" x14ac:dyDescent="0.4">
      <c r="N2750" s="59"/>
      <c r="O2750" s="60"/>
    </row>
    <row r="2751" spans="14:15" x14ac:dyDescent="0.4">
      <c r="N2751" s="59"/>
      <c r="O2751" s="60"/>
    </row>
    <row r="2752" spans="14:15" x14ac:dyDescent="0.4">
      <c r="N2752" s="59"/>
      <c r="O2752" s="60"/>
    </row>
    <row r="2753" spans="14:15" x14ac:dyDescent="0.4">
      <c r="N2753" s="59"/>
      <c r="O2753" s="60"/>
    </row>
    <row r="2754" spans="14:15" x14ac:dyDescent="0.4">
      <c r="N2754" s="59"/>
      <c r="O2754" s="60"/>
    </row>
    <row r="2755" spans="14:15" x14ac:dyDescent="0.4">
      <c r="N2755" s="59"/>
      <c r="O2755" s="60"/>
    </row>
    <row r="2756" spans="14:15" x14ac:dyDescent="0.4">
      <c r="N2756" s="59"/>
      <c r="O2756" s="60"/>
    </row>
    <row r="2757" spans="14:15" x14ac:dyDescent="0.4">
      <c r="N2757" s="59"/>
      <c r="O2757" s="60"/>
    </row>
    <row r="2758" spans="14:15" x14ac:dyDescent="0.4">
      <c r="N2758" s="59"/>
      <c r="O2758" s="60"/>
    </row>
    <row r="2759" spans="14:15" x14ac:dyDescent="0.4">
      <c r="N2759" s="59"/>
      <c r="O2759" s="60"/>
    </row>
    <row r="2760" spans="14:15" x14ac:dyDescent="0.4">
      <c r="N2760" s="59"/>
      <c r="O2760" s="60"/>
    </row>
    <row r="2761" spans="14:15" x14ac:dyDescent="0.4">
      <c r="N2761" s="59"/>
      <c r="O2761" s="60"/>
    </row>
    <row r="2762" spans="14:15" x14ac:dyDescent="0.4">
      <c r="N2762" s="59"/>
      <c r="O2762" s="60"/>
    </row>
    <row r="2763" spans="14:15" x14ac:dyDescent="0.4">
      <c r="N2763" s="59"/>
      <c r="O2763" s="60"/>
    </row>
    <row r="2764" spans="14:15" x14ac:dyDescent="0.4">
      <c r="N2764" s="59"/>
      <c r="O2764" s="60"/>
    </row>
    <row r="2765" spans="14:15" x14ac:dyDescent="0.4">
      <c r="N2765" s="59"/>
      <c r="O2765" s="60"/>
    </row>
    <row r="2766" spans="14:15" x14ac:dyDescent="0.4">
      <c r="N2766" s="59"/>
      <c r="O2766" s="60"/>
    </row>
    <row r="2767" spans="14:15" x14ac:dyDescent="0.4">
      <c r="N2767" s="59"/>
      <c r="O2767" s="60"/>
    </row>
    <row r="2768" spans="14:15" x14ac:dyDescent="0.4">
      <c r="N2768" s="59"/>
      <c r="O2768" s="60"/>
    </row>
    <row r="2769" spans="14:15" x14ac:dyDescent="0.4">
      <c r="N2769" s="59"/>
      <c r="O2769" s="60"/>
    </row>
    <row r="2770" spans="14:15" x14ac:dyDescent="0.4">
      <c r="N2770" s="59"/>
      <c r="O2770" s="60"/>
    </row>
    <row r="2771" spans="14:15" x14ac:dyDescent="0.4">
      <c r="N2771" s="59"/>
      <c r="O2771" s="60"/>
    </row>
    <row r="2772" spans="14:15" x14ac:dyDescent="0.4">
      <c r="N2772" s="59"/>
      <c r="O2772" s="60"/>
    </row>
    <row r="2773" spans="14:15" x14ac:dyDescent="0.4">
      <c r="N2773" s="59"/>
      <c r="O2773" s="60"/>
    </row>
    <row r="2774" spans="14:15" x14ac:dyDescent="0.4">
      <c r="N2774" s="59"/>
      <c r="O2774" s="60"/>
    </row>
    <row r="2775" spans="14:15" x14ac:dyDescent="0.4">
      <c r="N2775" s="59"/>
      <c r="O2775" s="60"/>
    </row>
    <row r="2776" spans="14:15" x14ac:dyDescent="0.4">
      <c r="N2776" s="59"/>
      <c r="O2776" s="60"/>
    </row>
    <row r="2777" spans="14:15" x14ac:dyDescent="0.4">
      <c r="N2777" s="59"/>
      <c r="O2777" s="60"/>
    </row>
    <row r="2778" spans="14:15" x14ac:dyDescent="0.4">
      <c r="N2778" s="59"/>
      <c r="O2778" s="60"/>
    </row>
    <row r="2779" spans="14:15" x14ac:dyDescent="0.4">
      <c r="N2779" s="59"/>
      <c r="O2779" s="60"/>
    </row>
    <row r="2780" spans="14:15" x14ac:dyDescent="0.4">
      <c r="N2780" s="59"/>
      <c r="O2780" s="60"/>
    </row>
    <row r="2781" spans="14:15" x14ac:dyDescent="0.4">
      <c r="N2781" s="59"/>
      <c r="O2781" s="60"/>
    </row>
    <row r="2782" spans="14:15" x14ac:dyDescent="0.4">
      <c r="N2782" s="59"/>
      <c r="O2782" s="60"/>
    </row>
    <row r="2783" spans="14:15" x14ac:dyDescent="0.4">
      <c r="N2783" s="59"/>
      <c r="O2783" s="60"/>
    </row>
    <row r="2784" spans="14:15" x14ac:dyDescent="0.4">
      <c r="N2784" s="59"/>
      <c r="O2784" s="60"/>
    </row>
    <row r="2785" spans="14:15" x14ac:dyDescent="0.4">
      <c r="N2785" s="59"/>
      <c r="O2785" s="60"/>
    </row>
    <row r="2786" spans="14:15" x14ac:dyDescent="0.4">
      <c r="N2786" s="59"/>
      <c r="O2786" s="60"/>
    </row>
    <row r="2787" spans="14:15" x14ac:dyDescent="0.4">
      <c r="N2787" s="59"/>
      <c r="O2787" s="60"/>
    </row>
    <row r="2788" spans="14:15" x14ac:dyDescent="0.4">
      <c r="N2788" s="59"/>
      <c r="O2788" s="60"/>
    </row>
    <row r="2789" spans="14:15" x14ac:dyDescent="0.4">
      <c r="N2789" s="59"/>
      <c r="O2789" s="60"/>
    </row>
    <row r="2790" spans="14:15" x14ac:dyDescent="0.4">
      <c r="N2790" s="59"/>
      <c r="O2790" s="60"/>
    </row>
    <row r="2791" spans="14:15" x14ac:dyDescent="0.4">
      <c r="N2791" s="59"/>
      <c r="O2791" s="60"/>
    </row>
    <row r="2792" spans="14:15" x14ac:dyDescent="0.4">
      <c r="N2792" s="59"/>
      <c r="O2792" s="60"/>
    </row>
    <row r="2793" spans="14:15" x14ac:dyDescent="0.4">
      <c r="N2793" s="59"/>
      <c r="O2793" s="60"/>
    </row>
    <row r="2794" spans="14:15" x14ac:dyDescent="0.4">
      <c r="N2794" s="59"/>
      <c r="O2794" s="60"/>
    </row>
    <row r="2795" spans="14:15" x14ac:dyDescent="0.4">
      <c r="N2795" s="59"/>
      <c r="O2795" s="60"/>
    </row>
    <row r="2796" spans="14:15" x14ac:dyDescent="0.4">
      <c r="N2796" s="59"/>
      <c r="O2796" s="60"/>
    </row>
    <row r="2797" spans="14:15" x14ac:dyDescent="0.4">
      <c r="N2797" s="59"/>
      <c r="O2797" s="60"/>
    </row>
    <row r="2798" spans="14:15" x14ac:dyDescent="0.4">
      <c r="N2798" s="59"/>
      <c r="O2798" s="60"/>
    </row>
    <row r="2799" spans="14:15" x14ac:dyDescent="0.4">
      <c r="N2799" s="59"/>
      <c r="O2799" s="60"/>
    </row>
    <row r="2800" spans="14:15" x14ac:dyDescent="0.4">
      <c r="N2800" s="59"/>
      <c r="O2800" s="60"/>
    </row>
    <row r="2801" spans="14:15" x14ac:dyDescent="0.4">
      <c r="N2801" s="59"/>
      <c r="O2801" s="60"/>
    </row>
    <row r="2802" spans="14:15" x14ac:dyDescent="0.4">
      <c r="N2802" s="59"/>
      <c r="O2802" s="60"/>
    </row>
    <row r="2803" spans="14:15" x14ac:dyDescent="0.4">
      <c r="N2803" s="59"/>
      <c r="O2803" s="60"/>
    </row>
    <row r="2804" spans="14:15" x14ac:dyDescent="0.4">
      <c r="N2804" s="59"/>
      <c r="O2804" s="60"/>
    </row>
    <row r="2805" spans="14:15" x14ac:dyDescent="0.4">
      <c r="N2805" s="59"/>
      <c r="O2805" s="60"/>
    </row>
    <row r="2806" spans="14:15" x14ac:dyDescent="0.4">
      <c r="N2806" s="59"/>
      <c r="O2806" s="60"/>
    </row>
    <row r="2807" spans="14:15" x14ac:dyDescent="0.4">
      <c r="N2807" s="59"/>
      <c r="O2807" s="60"/>
    </row>
    <row r="2808" spans="14:15" x14ac:dyDescent="0.4">
      <c r="N2808" s="59"/>
      <c r="O2808" s="60"/>
    </row>
    <row r="2809" spans="14:15" x14ac:dyDescent="0.4">
      <c r="N2809" s="59"/>
      <c r="O2809" s="60"/>
    </row>
    <row r="2810" spans="14:15" x14ac:dyDescent="0.4">
      <c r="N2810" s="59"/>
      <c r="O2810" s="60"/>
    </row>
    <row r="2811" spans="14:15" x14ac:dyDescent="0.4">
      <c r="N2811" s="59"/>
      <c r="O2811" s="60"/>
    </row>
    <row r="2812" spans="14:15" x14ac:dyDescent="0.4">
      <c r="N2812" s="59"/>
      <c r="O2812" s="60"/>
    </row>
    <row r="2813" spans="14:15" x14ac:dyDescent="0.4">
      <c r="N2813" s="59"/>
      <c r="O2813" s="60"/>
    </row>
    <row r="2814" spans="14:15" x14ac:dyDescent="0.4">
      <c r="N2814" s="59"/>
      <c r="O2814" s="60"/>
    </row>
    <row r="2815" spans="14:15" x14ac:dyDescent="0.4">
      <c r="N2815" s="59"/>
      <c r="O2815" s="60"/>
    </row>
    <row r="2816" spans="14:15" x14ac:dyDescent="0.4">
      <c r="N2816" s="59"/>
      <c r="O2816" s="60"/>
    </row>
    <row r="2817" spans="14:15" x14ac:dyDescent="0.4">
      <c r="N2817" s="59"/>
      <c r="O2817" s="60"/>
    </row>
    <row r="2818" spans="14:15" x14ac:dyDescent="0.4">
      <c r="N2818" s="59"/>
      <c r="O2818" s="60"/>
    </row>
    <row r="2819" spans="14:15" x14ac:dyDescent="0.4">
      <c r="N2819" s="59"/>
      <c r="O2819" s="60"/>
    </row>
    <row r="2820" spans="14:15" x14ac:dyDescent="0.4">
      <c r="N2820" s="59"/>
      <c r="O2820" s="60"/>
    </row>
    <row r="2821" spans="14:15" x14ac:dyDescent="0.4">
      <c r="N2821" s="59"/>
      <c r="O2821" s="60"/>
    </row>
    <row r="2822" spans="14:15" x14ac:dyDescent="0.4">
      <c r="N2822" s="59"/>
      <c r="O2822" s="60"/>
    </row>
    <row r="2823" spans="14:15" x14ac:dyDescent="0.4">
      <c r="N2823" s="59"/>
      <c r="O2823" s="60"/>
    </row>
    <row r="2824" spans="14:15" x14ac:dyDescent="0.4">
      <c r="N2824" s="59"/>
      <c r="O2824" s="60"/>
    </row>
    <row r="2825" spans="14:15" x14ac:dyDescent="0.4">
      <c r="N2825" s="59"/>
      <c r="O2825" s="60"/>
    </row>
    <row r="2826" spans="14:15" x14ac:dyDescent="0.4">
      <c r="N2826" s="59"/>
      <c r="O2826" s="60"/>
    </row>
    <row r="2827" spans="14:15" x14ac:dyDescent="0.4">
      <c r="N2827" s="59"/>
      <c r="O2827" s="60"/>
    </row>
    <row r="2828" spans="14:15" x14ac:dyDescent="0.4">
      <c r="N2828" s="59"/>
      <c r="O2828" s="60"/>
    </row>
    <row r="2829" spans="14:15" x14ac:dyDescent="0.4">
      <c r="N2829" s="59"/>
      <c r="O2829" s="60"/>
    </row>
    <row r="2830" spans="14:15" x14ac:dyDescent="0.4">
      <c r="N2830" s="59"/>
      <c r="O2830" s="60"/>
    </row>
    <row r="2831" spans="14:15" x14ac:dyDescent="0.4">
      <c r="N2831" s="59"/>
      <c r="O2831" s="60"/>
    </row>
    <row r="2832" spans="14:15" x14ac:dyDescent="0.4">
      <c r="N2832" s="59"/>
      <c r="O2832" s="60"/>
    </row>
    <row r="2833" spans="14:15" x14ac:dyDescent="0.4">
      <c r="N2833" s="59"/>
      <c r="O2833" s="60"/>
    </row>
    <row r="2834" spans="14:15" x14ac:dyDescent="0.4">
      <c r="N2834" s="59"/>
      <c r="O2834" s="60"/>
    </row>
    <row r="2835" spans="14:15" x14ac:dyDescent="0.4">
      <c r="N2835" s="59"/>
      <c r="O2835" s="60"/>
    </row>
    <row r="2836" spans="14:15" x14ac:dyDescent="0.4">
      <c r="N2836" s="59"/>
      <c r="O2836" s="60"/>
    </row>
    <row r="2837" spans="14:15" x14ac:dyDescent="0.4">
      <c r="N2837" s="59"/>
      <c r="O2837" s="60"/>
    </row>
    <row r="2838" spans="14:15" x14ac:dyDescent="0.4">
      <c r="N2838" s="59"/>
      <c r="O2838" s="60"/>
    </row>
    <row r="2839" spans="14:15" x14ac:dyDescent="0.4">
      <c r="N2839" s="59"/>
      <c r="O2839" s="60"/>
    </row>
    <row r="2840" spans="14:15" x14ac:dyDescent="0.4">
      <c r="N2840" s="59"/>
      <c r="O2840" s="60"/>
    </row>
    <row r="2841" spans="14:15" x14ac:dyDescent="0.4">
      <c r="N2841" s="59"/>
      <c r="O2841" s="60"/>
    </row>
    <row r="2842" spans="14:15" x14ac:dyDescent="0.4">
      <c r="N2842" s="59"/>
      <c r="O2842" s="60"/>
    </row>
    <row r="2843" spans="14:15" x14ac:dyDescent="0.4">
      <c r="N2843" s="59"/>
      <c r="O2843" s="60"/>
    </row>
    <row r="2844" spans="14:15" x14ac:dyDescent="0.4">
      <c r="N2844" s="59"/>
      <c r="O2844" s="60"/>
    </row>
    <row r="2845" spans="14:15" x14ac:dyDescent="0.4">
      <c r="N2845" s="59"/>
      <c r="O2845" s="60"/>
    </row>
    <row r="2846" spans="14:15" x14ac:dyDescent="0.4">
      <c r="N2846" s="59"/>
      <c r="O2846" s="60"/>
    </row>
    <row r="2847" spans="14:15" x14ac:dyDescent="0.4">
      <c r="N2847" s="59"/>
      <c r="O2847" s="60"/>
    </row>
    <row r="2848" spans="14:15" x14ac:dyDescent="0.4">
      <c r="N2848" s="59"/>
      <c r="O2848" s="60"/>
    </row>
    <row r="2849" spans="14:15" x14ac:dyDescent="0.4">
      <c r="N2849" s="59"/>
      <c r="O2849" s="60"/>
    </row>
    <row r="2850" spans="14:15" x14ac:dyDescent="0.4">
      <c r="N2850" s="59"/>
      <c r="O2850" s="60"/>
    </row>
    <row r="2851" spans="14:15" x14ac:dyDescent="0.4">
      <c r="N2851" s="59"/>
      <c r="O2851" s="60"/>
    </row>
    <row r="2852" spans="14:15" x14ac:dyDescent="0.4">
      <c r="N2852" s="59"/>
      <c r="O2852" s="60"/>
    </row>
    <row r="2853" spans="14:15" x14ac:dyDescent="0.4">
      <c r="N2853" s="59"/>
      <c r="O2853" s="60"/>
    </row>
    <row r="2854" spans="14:15" x14ac:dyDescent="0.4">
      <c r="N2854" s="59"/>
      <c r="O2854" s="60"/>
    </row>
    <row r="2855" spans="14:15" x14ac:dyDescent="0.4">
      <c r="N2855" s="59"/>
      <c r="O2855" s="60"/>
    </row>
    <row r="2856" spans="14:15" x14ac:dyDescent="0.4">
      <c r="N2856" s="59"/>
      <c r="O2856" s="60"/>
    </row>
    <row r="2857" spans="14:15" x14ac:dyDescent="0.4">
      <c r="N2857" s="59"/>
      <c r="O2857" s="60"/>
    </row>
    <row r="2858" spans="14:15" x14ac:dyDescent="0.4">
      <c r="N2858" s="59"/>
      <c r="O2858" s="60"/>
    </row>
    <row r="2859" spans="14:15" x14ac:dyDescent="0.4">
      <c r="N2859" s="59"/>
      <c r="O2859" s="60"/>
    </row>
    <row r="2860" spans="14:15" x14ac:dyDescent="0.4">
      <c r="N2860" s="59"/>
      <c r="O2860" s="60"/>
    </row>
    <row r="2861" spans="14:15" x14ac:dyDescent="0.4">
      <c r="N2861" s="59"/>
      <c r="O2861" s="60"/>
    </row>
    <row r="2862" spans="14:15" x14ac:dyDescent="0.4">
      <c r="N2862" s="59"/>
      <c r="O2862" s="60"/>
    </row>
    <row r="2863" spans="14:15" x14ac:dyDescent="0.4">
      <c r="N2863" s="59"/>
      <c r="O2863" s="60"/>
    </row>
    <row r="2864" spans="14:15" x14ac:dyDescent="0.4">
      <c r="N2864" s="59"/>
      <c r="O2864" s="60"/>
    </row>
    <row r="2865" spans="14:15" x14ac:dyDescent="0.4">
      <c r="N2865" s="59"/>
      <c r="O2865" s="60"/>
    </row>
    <row r="2866" spans="14:15" x14ac:dyDescent="0.4">
      <c r="N2866" s="59"/>
      <c r="O2866" s="60"/>
    </row>
    <row r="2867" spans="14:15" x14ac:dyDescent="0.4">
      <c r="N2867" s="59"/>
      <c r="O2867" s="60"/>
    </row>
    <row r="2868" spans="14:15" x14ac:dyDescent="0.4">
      <c r="N2868" s="59"/>
      <c r="O2868" s="60"/>
    </row>
    <row r="2869" spans="14:15" x14ac:dyDescent="0.4">
      <c r="N2869" s="59"/>
      <c r="O2869" s="60"/>
    </row>
    <row r="2870" spans="14:15" x14ac:dyDescent="0.4">
      <c r="N2870" s="59"/>
      <c r="O2870" s="60"/>
    </row>
    <row r="2871" spans="14:15" x14ac:dyDescent="0.4">
      <c r="N2871" s="59"/>
      <c r="O2871" s="60"/>
    </row>
    <row r="2872" spans="14:15" x14ac:dyDescent="0.4">
      <c r="N2872" s="59"/>
      <c r="O2872" s="60"/>
    </row>
    <row r="2873" spans="14:15" x14ac:dyDescent="0.4">
      <c r="N2873" s="59"/>
      <c r="O2873" s="60"/>
    </row>
    <row r="2874" spans="14:15" x14ac:dyDescent="0.4">
      <c r="N2874" s="59"/>
      <c r="O2874" s="60"/>
    </row>
    <row r="2875" spans="14:15" x14ac:dyDescent="0.4">
      <c r="N2875" s="59"/>
      <c r="O2875" s="60"/>
    </row>
    <row r="2876" spans="14:15" x14ac:dyDescent="0.4">
      <c r="N2876" s="59"/>
      <c r="O2876" s="60"/>
    </row>
    <row r="2877" spans="14:15" x14ac:dyDescent="0.4">
      <c r="N2877" s="59"/>
      <c r="O2877" s="60"/>
    </row>
    <row r="2878" spans="14:15" x14ac:dyDescent="0.4">
      <c r="N2878" s="59"/>
      <c r="O2878" s="60"/>
    </row>
    <row r="2879" spans="14:15" x14ac:dyDescent="0.4">
      <c r="N2879" s="59"/>
      <c r="O2879" s="60"/>
    </row>
    <row r="2880" spans="14:15" x14ac:dyDescent="0.4">
      <c r="N2880" s="59"/>
      <c r="O2880" s="60"/>
    </row>
    <row r="2881" spans="14:15" x14ac:dyDescent="0.4">
      <c r="N2881" s="59"/>
      <c r="O2881" s="60"/>
    </row>
    <row r="2882" spans="14:15" x14ac:dyDescent="0.4">
      <c r="N2882" s="59"/>
      <c r="O2882" s="60"/>
    </row>
    <row r="2883" spans="14:15" x14ac:dyDescent="0.4">
      <c r="N2883" s="59"/>
      <c r="O2883" s="60"/>
    </row>
    <row r="2884" spans="14:15" x14ac:dyDescent="0.4">
      <c r="N2884" s="59"/>
      <c r="O2884" s="60"/>
    </row>
    <row r="2885" spans="14:15" x14ac:dyDescent="0.4">
      <c r="N2885" s="59"/>
      <c r="O2885" s="60"/>
    </row>
    <row r="2886" spans="14:15" x14ac:dyDescent="0.4">
      <c r="N2886" s="59"/>
      <c r="O2886" s="60"/>
    </row>
    <row r="2887" spans="14:15" x14ac:dyDescent="0.4">
      <c r="N2887" s="59"/>
      <c r="O2887" s="60"/>
    </row>
    <row r="2888" spans="14:15" x14ac:dyDescent="0.4">
      <c r="N2888" s="59"/>
      <c r="O2888" s="60"/>
    </row>
    <row r="2889" spans="14:15" x14ac:dyDescent="0.4">
      <c r="N2889" s="59"/>
      <c r="O2889" s="60"/>
    </row>
    <row r="2890" spans="14:15" x14ac:dyDescent="0.4">
      <c r="N2890" s="59"/>
      <c r="O2890" s="60"/>
    </row>
    <row r="2891" spans="14:15" x14ac:dyDescent="0.4">
      <c r="N2891" s="59"/>
      <c r="O2891" s="60"/>
    </row>
    <row r="2892" spans="14:15" x14ac:dyDescent="0.4">
      <c r="N2892" s="59"/>
      <c r="O2892" s="60"/>
    </row>
    <row r="2893" spans="14:15" x14ac:dyDescent="0.4">
      <c r="N2893" s="59"/>
      <c r="O2893" s="60"/>
    </row>
    <row r="2894" spans="14:15" x14ac:dyDescent="0.4">
      <c r="N2894" s="59"/>
      <c r="O2894" s="60"/>
    </row>
    <row r="2895" spans="14:15" x14ac:dyDescent="0.4">
      <c r="N2895" s="59"/>
      <c r="O2895" s="60"/>
    </row>
    <row r="2896" spans="14:15" x14ac:dyDescent="0.4">
      <c r="N2896" s="59"/>
      <c r="O2896" s="60"/>
    </row>
    <row r="2897" spans="14:15" x14ac:dyDescent="0.4">
      <c r="N2897" s="59"/>
      <c r="O2897" s="60"/>
    </row>
    <row r="2898" spans="14:15" x14ac:dyDescent="0.4">
      <c r="N2898" s="59"/>
      <c r="O2898" s="60"/>
    </row>
    <row r="2899" spans="14:15" x14ac:dyDescent="0.4">
      <c r="N2899" s="59"/>
      <c r="O2899" s="60"/>
    </row>
    <row r="2900" spans="14:15" x14ac:dyDescent="0.4">
      <c r="N2900" s="59"/>
      <c r="O2900" s="60"/>
    </row>
    <row r="2901" spans="14:15" x14ac:dyDescent="0.4">
      <c r="N2901" s="59"/>
      <c r="O2901" s="60"/>
    </row>
    <row r="2902" spans="14:15" x14ac:dyDescent="0.4">
      <c r="N2902" s="59"/>
      <c r="O2902" s="60"/>
    </row>
    <row r="2903" spans="14:15" x14ac:dyDescent="0.4">
      <c r="N2903" s="59"/>
      <c r="O2903" s="60"/>
    </row>
    <row r="2904" spans="14:15" x14ac:dyDescent="0.4">
      <c r="N2904" s="59"/>
      <c r="O2904" s="60"/>
    </row>
    <row r="2905" spans="14:15" x14ac:dyDescent="0.4">
      <c r="N2905" s="59"/>
      <c r="O2905" s="60"/>
    </row>
    <row r="2906" spans="14:15" x14ac:dyDescent="0.4">
      <c r="N2906" s="59"/>
      <c r="O2906" s="60"/>
    </row>
    <row r="2907" spans="14:15" x14ac:dyDescent="0.4">
      <c r="N2907" s="59"/>
      <c r="O2907" s="60"/>
    </row>
    <row r="2908" spans="14:15" x14ac:dyDescent="0.4">
      <c r="N2908" s="59"/>
      <c r="O2908" s="60"/>
    </row>
    <row r="2909" spans="14:15" x14ac:dyDescent="0.4">
      <c r="N2909" s="59"/>
      <c r="O2909" s="60"/>
    </row>
    <row r="2910" spans="14:15" x14ac:dyDescent="0.4">
      <c r="N2910" s="59"/>
      <c r="O2910" s="60"/>
    </row>
    <row r="2911" spans="14:15" x14ac:dyDescent="0.4">
      <c r="N2911" s="59"/>
      <c r="O2911" s="60"/>
    </row>
    <row r="2912" spans="14:15" x14ac:dyDescent="0.4">
      <c r="N2912" s="59"/>
      <c r="O2912" s="60"/>
    </row>
    <row r="2913" spans="14:15" x14ac:dyDescent="0.4">
      <c r="N2913" s="59"/>
      <c r="O2913" s="60"/>
    </row>
    <row r="2914" spans="14:15" x14ac:dyDescent="0.4">
      <c r="N2914" s="59"/>
      <c r="O2914" s="60"/>
    </row>
    <row r="2915" spans="14:15" x14ac:dyDescent="0.4">
      <c r="N2915" s="59"/>
      <c r="O2915" s="60"/>
    </row>
    <row r="2916" spans="14:15" x14ac:dyDescent="0.4">
      <c r="N2916" s="59"/>
      <c r="O2916" s="60"/>
    </row>
    <row r="2917" spans="14:15" x14ac:dyDescent="0.4">
      <c r="N2917" s="59"/>
      <c r="O2917" s="60"/>
    </row>
    <row r="2918" spans="14:15" x14ac:dyDescent="0.4">
      <c r="N2918" s="59"/>
      <c r="O2918" s="60"/>
    </row>
    <row r="2919" spans="14:15" x14ac:dyDescent="0.4">
      <c r="N2919" s="59"/>
      <c r="O2919" s="60"/>
    </row>
    <row r="2920" spans="14:15" x14ac:dyDescent="0.4">
      <c r="N2920" s="59"/>
      <c r="O2920" s="60"/>
    </row>
    <row r="2921" spans="14:15" x14ac:dyDescent="0.4">
      <c r="N2921" s="59"/>
      <c r="O2921" s="60"/>
    </row>
    <row r="2922" spans="14:15" x14ac:dyDescent="0.4">
      <c r="N2922" s="59"/>
      <c r="O2922" s="60"/>
    </row>
    <row r="2923" spans="14:15" x14ac:dyDescent="0.4">
      <c r="N2923" s="59"/>
      <c r="O2923" s="60"/>
    </row>
    <row r="2924" spans="14:15" x14ac:dyDescent="0.4">
      <c r="N2924" s="59"/>
      <c r="O2924" s="60"/>
    </row>
    <row r="2925" spans="14:15" x14ac:dyDescent="0.4">
      <c r="N2925" s="59"/>
      <c r="O2925" s="60"/>
    </row>
    <row r="2926" spans="14:15" x14ac:dyDescent="0.4">
      <c r="N2926" s="59"/>
      <c r="O2926" s="60"/>
    </row>
    <row r="2927" spans="14:15" x14ac:dyDescent="0.4">
      <c r="N2927" s="59"/>
      <c r="O2927" s="60"/>
    </row>
    <row r="2928" spans="14:15" x14ac:dyDescent="0.4">
      <c r="N2928" s="59"/>
      <c r="O2928" s="60"/>
    </row>
    <row r="2929" spans="14:15" x14ac:dyDescent="0.4">
      <c r="N2929" s="59"/>
      <c r="O2929" s="60"/>
    </row>
    <row r="2930" spans="14:15" x14ac:dyDescent="0.4">
      <c r="N2930" s="59"/>
      <c r="O2930" s="60"/>
    </row>
    <row r="2931" spans="14:15" x14ac:dyDescent="0.4">
      <c r="N2931" s="59"/>
      <c r="O2931" s="60"/>
    </row>
    <row r="2932" spans="14:15" x14ac:dyDescent="0.4">
      <c r="N2932" s="59"/>
      <c r="O2932" s="60"/>
    </row>
    <row r="2933" spans="14:15" x14ac:dyDescent="0.4">
      <c r="N2933" s="59"/>
      <c r="O2933" s="60"/>
    </row>
    <row r="2934" spans="14:15" x14ac:dyDescent="0.4">
      <c r="N2934" s="59"/>
      <c r="O2934" s="60"/>
    </row>
    <row r="2935" spans="14:15" x14ac:dyDescent="0.4">
      <c r="N2935" s="59"/>
      <c r="O2935" s="60"/>
    </row>
    <row r="2936" spans="14:15" x14ac:dyDescent="0.4">
      <c r="N2936" s="59"/>
      <c r="O2936" s="60"/>
    </row>
    <row r="2937" spans="14:15" x14ac:dyDescent="0.4">
      <c r="N2937" s="59"/>
      <c r="O2937" s="60"/>
    </row>
    <row r="2938" spans="14:15" x14ac:dyDescent="0.4">
      <c r="N2938" s="59"/>
      <c r="O2938" s="60"/>
    </row>
    <row r="2939" spans="14:15" x14ac:dyDescent="0.4">
      <c r="N2939" s="59"/>
      <c r="O2939" s="60"/>
    </row>
    <row r="2940" spans="14:15" x14ac:dyDescent="0.4">
      <c r="N2940" s="59"/>
      <c r="O2940" s="60"/>
    </row>
    <row r="2941" spans="14:15" x14ac:dyDescent="0.4">
      <c r="N2941" s="59"/>
      <c r="O2941" s="60"/>
    </row>
    <row r="2942" spans="14:15" x14ac:dyDescent="0.4">
      <c r="N2942" s="59"/>
      <c r="O2942" s="60"/>
    </row>
    <row r="2943" spans="14:15" x14ac:dyDescent="0.4">
      <c r="N2943" s="59"/>
      <c r="O2943" s="60"/>
    </row>
    <row r="2944" spans="14:15" x14ac:dyDescent="0.4">
      <c r="N2944" s="59"/>
      <c r="O2944" s="60"/>
    </row>
    <row r="2945" spans="14:15" x14ac:dyDescent="0.4">
      <c r="N2945" s="59"/>
      <c r="O2945" s="60"/>
    </row>
    <row r="2946" spans="14:15" x14ac:dyDescent="0.4">
      <c r="N2946" s="59"/>
      <c r="O2946" s="60"/>
    </row>
    <row r="2947" spans="14:15" x14ac:dyDescent="0.4">
      <c r="N2947" s="59"/>
      <c r="O2947" s="60"/>
    </row>
    <row r="2948" spans="14:15" x14ac:dyDescent="0.4">
      <c r="N2948" s="59"/>
      <c r="O2948" s="60"/>
    </row>
    <row r="2949" spans="14:15" x14ac:dyDescent="0.4">
      <c r="N2949" s="59"/>
      <c r="O2949" s="60"/>
    </row>
    <row r="2950" spans="14:15" x14ac:dyDescent="0.4">
      <c r="N2950" s="59"/>
      <c r="O2950" s="60"/>
    </row>
    <row r="2951" spans="14:15" x14ac:dyDescent="0.4">
      <c r="N2951" s="59"/>
      <c r="O2951" s="60"/>
    </row>
    <row r="2952" spans="14:15" x14ac:dyDescent="0.4">
      <c r="N2952" s="59"/>
      <c r="O2952" s="60"/>
    </row>
    <row r="2953" spans="14:15" x14ac:dyDescent="0.4">
      <c r="N2953" s="59"/>
      <c r="O2953" s="60"/>
    </row>
    <row r="2954" spans="14:15" x14ac:dyDescent="0.4">
      <c r="N2954" s="59"/>
      <c r="O2954" s="60"/>
    </row>
    <row r="2955" spans="14:15" x14ac:dyDescent="0.4">
      <c r="N2955" s="59"/>
      <c r="O2955" s="60"/>
    </row>
    <row r="2956" spans="14:15" x14ac:dyDescent="0.4">
      <c r="N2956" s="59"/>
      <c r="O2956" s="60"/>
    </row>
    <row r="2957" spans="14:15" x14ac:dyDescent="0.4">
      <c r="N2957" s="59"/>
      <c r="O2957" s="60"/>
    </row>
    <row r="2958" spans="14:15" x14ac:dyDescent="0.4">
      <c r="N2958" s="59"/>
      <c r="O2958" s="60"/>
    </row>
    <row r="2959" spans="14:15" x14ac:dyDescent="0.4">
      <c r="N2959" s="59"/>
      <c r="O2959" s="60"/>
    </row>
    <row r="2960" spans="14:15" x14ac:dyDescent="0.4">
      <c r="N2960" s="59"/>
      <c r="O2960" s="60"/>
    </row>
    <row r="2961" spans="14:15" x14ac:dyDescent="0.4">
      <c r="N2961" s="59"/>
      <c r="O2961" s="60"/>
    </row>
    <row r="2962" spans="14:15" x14ac:dyDescent="0.4">
      <c r="N2962" s="59"/>
      <c r="O2962" s="60"/>
    </row>
    <row r="2963" spans="14:15" x14ac:dyDescent="0.4">
      <c r="N2963" s="59"/>
      <c r="O2963" s="60"/>
    </row>
    <row r="2964" spans="14:15" x14ac:dyDescent="0.4">
      <c r="N2964" s="59"/>
      <c r="O2964" s="60"/>
    </row>
    <row r="2965" spans="14:15" x14ac:dyDescent="0.4">
      <c r="N2965" s="59"/>
      <c r="O2965" s="60"/>
    </row>
    <row r="2966" spans="14:15" x14ac:dyDescent="0.4">
      <c r="N2966" s="59"/>
      <c r="O2966" s="60"/>
    </row>
    <row r="2967" spans="14:15" x14ac:dyDescent="0.4">
      <c r="N2967" s="59"/>
      <c r="O2967" s="60"/>
    </row>
    <row r="2968" spans="14:15" x14ac:dyDescent="0.4">
      <c r="N2968" s="59"/>
      <c r="O2968" s="60"/>
    </row>
    <row r="2969" spans="14:15" x14ac:dyDescent="0.4">
      <c r="N2969" s="59"/>
      <c r="O2969" s="60"/>
    </row>
    <row r="2970" spans="14:15" x14ac:dyDescent="0.4">
      <c r="N2970" s="59"/>
      <c r="O2970" s="60"/>
    </row>
    <row r="2971" spans="14:15" x14ac:dyDescent="0.4">
      <c r="N2971" s="59"/>
      <c r="O2971" s="60"/>
    </row>
    <row r="2972" spans="14:15" x14ac:dyDescent="0.4">
      <c r="N2972" s="59"/>
      <c r="O2972" s="60"/>
    </row>
    <row r="2973" spans="14:15" x14ac:dyDescent="0.4">
      <c r="N2973" s="59"/>
      <c r="O2973" s="60"/>
    </row>
    <row r="2974" spans="14:15" x14ac:dyDescent="0.4">
      <c r="N2974" s="59"/>
      <c r="O2974" s="60"/>
    </row>
    <row r="2975" spans="14:15" x14ac:dyDescent="0.4">
      <c r="N2975" s="59"/>
      <c r="O2975" s="60"/>
    </row>
    <row r="2976" spans="14:15" x14ac:dyDescent="0.4">
      <c r="N2976" s="59"/>
      <c r="O2976" s="60"/>
    </row>
    <row r="2977" spans="14:15" x14ac:dyDescent="0.4">
      <c r="N2977" s="59"/>
      <c r="O2977" s="60"/>
    </row>
    <row r="2978" spans="14:15" x14ac:dyDescent="0.4">
      <c r="N2978" s="59"/>
      <c r="O2978" s="60"/>
    </row>
    <row r="2979" spans="14:15" x14ac:dyDescent="0.4">
      <c r="N2979" s="59"/>
      <c r="O2979" s="60"/>
    </row>
    <row r="2980" spans="14:15" x14ac:dyDescent="0.4">
      <c r="N2980" s="59"/>
      <c r="O2980" s="60"/>
    </row>
    <row r="2981" spans="14:15" x14ac:dyDescent="0.4">
      <c r="N2981" s="59"/>
      <c r="O2981" s="60"/>
    </row>
    <row r="2982" spans="14:15" x14ac:dyDescent="0.4">
      <c r="N2982" s="59"/>
      <c r="O2982" s="60"/>
    </row>
    <row r="2983" spans="14:15" x14ac:dyDescent="0.4">
      <c r="N2983" s="59"/>
      <c r="O2983" s="60"/>
    </row>
    <row r="2984" spans="14:15" x14ac:dyDescent="0.4">
      <c r="N2984" s="59"/>
      <c r="O2984" s="60"/>
    </row>
    <row r="2985" spans="14:15" x14ac:dyDescent="0.4">
      <c r="N2985" s="59"/>
      <c r="O2985" s="60"/>
    </row>
    <row r="2986" spans="14:15" x14ac:dyDescent="0.4">
      <c r="N2986" s="59"/>
      <c r="O2986" s="60"/>
    </row>
    <row r="2987" spans="14:15" x14ac:dyDescent="0.4">
      <c r="N2987" s="59"/>
      <c r="O2987" s="60"/>
    </row>
    <row r="2988" spans="14:15" x14ac:dyDescent="0.4">
      <c r="N2988" s="59"/>
      <c r="O2988" s="60"/>
    </row>
    <row r="2989" spans="14:15" x14ac:dyDescent="0.4">
      <c r="N2989" s="59"/>
      <c r="O2989" s="60"/>
    </row>
    <row r="2990" spans="14:15" x14ac:dyDescent="0.4">
      <c r="N2990" s="59"/>
      <c r="O2990" s="60"/>
    </row>
    <row r="2991" spans="14:15" x14ac:dyDescent="0.4">
      <c r="N2991" s="59"/>
      <c r="O2991" s="60"/>
    </row>
    <row r="2992" spans="14:15" x14ac:dyDescent="0.4">
      <c r="N2992" s="59"/>
      <c r="O2992" s="60"/>
    </row>
    <row r="2993" spans="14:15" x14ac:dyDescent="0.4">
      <c r="N2993" s="59"/>
      <c r="O2993" s="60"/>
    </row>
    <row r="2994" spans="14:15" x14ac:dyDescent="0.4">
      <c r="N2994" s="59"/>
      <c r="O2994" s="60"/>
    </row>
    <row r="2995" spans="14:15" x14ac:dyDescent="0.4">
      <c r="N2995" s="59"/>
      <c r="O2995" s="60"/>
    </row>
    <row r="2996" spans="14:15" x14ac:dyDescent="0.4">
      <c r="N2996" s="59"/>
      <c r="O2996" s="60"/>
    </row>
    <row r="2997" spans="14:15" x14ac:dyDescent="0.4">
      <c r="N2997" s="59"/>
      <c r="O2997" s="60"/>
    </row>
    <row r="2998" spans="14:15" x14ac:dyDescent="0.4">
      <c r="N2998" s="59"/>
      <c r="O2998" s="60"/>
    </row>
    <row r="2999" spans="14:15" x14ac:dyDescent="0.4">
      <c r="N2999" s="59"/>
      <c r="O2999" s="60"/>
    </row>
    <row r="3000" spans="14:15" x14ac:dyDescent="0.4">
      <c r="N3000" s="59"/>
      <c r="O3000" s="60"/>
    </row>
    <row r="3001" spans="14:15" x14ac:dyDescent="0.4">
      <c r="N3001" s="59"/>
      <c r="O3001" s="60"/>
    </row>
    <row r="3002" spans="14:15" x14ac:dyDescent="0.4">
      <c r="N3002" s="59"/>
      <c r="O3002" s="60"/>
    </row>
    <row r="3003" spans="14:15" x14ac:dyDescent="0.4">
      <c r="N3003" s="59"/>
      <c r="O3003" s="60"/>
    </row>
    <row r="3004" spans="14:15" x14ac:dyDescent="0.4">
      <c r="N3004" s="59"/>
      <c r="O3004" s="60"/>
    </row>
    <row r="3005" spans="14:15" x14ac:dyDescent="0.4">
      <c r="N3005" s="59"/>
      <c r="O3005" s="60"/>
    </row>
    <row r="3006" spans="14:15" x14ac:dyDescent="0.4">
      <c r="N3006" s="59"/>
      <c r="O3006" s="60"/>
    </row>
    <row r="3007" spans="14:15" x14ac:dyDescent="0.4">
      <c r="N3007" s="59"/>
      <c r="O3007" s="60"/>
    </row>
    <row r="3008" spans="14:15" x14ac:dyDescent="0.4">
      <c r="N3008" s="59"/>
      <c r="O3008" s="60"/>
    </row>
    <row r="3009" spans="14:15" x14ac:dyDescent="0.4">
      <c r="N3009" s="59"/>
      <c r="O3009" s="60"/>
    </row>
    <row r="3010" spans="14:15" x14ac:dyDescent="0.4">
      <c r="N3010" s="59"/>
      <c r="O3010" s="60"/>
    </row>
    <row r="3011" spans="14:15" x14ac:dyDescent="0.4">
      <c r="N3011" s="59"/>
      <c r="O3011" s="60"/>
    </row>
    <row r="3012" spans="14:15" x14ac:dyDescent="0.4">
      <c r="N3012" s="59"/>
      <c r="O3012" s="60"/>
    </row>
    <row r="3013" spans="14:15" x14ac:dyDescent="0.4">
      <c r="N3013" s="59"/>
      <c r="O3013" s="60"/>
    </row>
    <row r="3014" spans="14:15" x14ac:dyDescent="0.4">
      <c r="N3014" s="59"/>
      <c r="O3014" s="60"/>
    </row>
    <row r="3015" spans="14:15" x14ac:dyDescent="0.4">
      <c r="N3015" s="59"/>
      <c r="O3015" s="60"/>
    </row>
    <row r="3016" spans="14:15" x14ac:dyDescent="0.4">
      <c r="N3016" s="59"/>
      <c r="O3016" s="60"/>
    </row>
    <row r="3017" spans="14:15" x14ac:dyDescent="0.4">
      <c r="N3017" s="59"/>
      <c r="O3017" s="60"/>
    </row>
    <row r="3018" spans="14:15" x14ac:dyDescent="0.4">
      <c r="N3018" s="59"/>
      <c r="O3018" s="60"/>
    </row>
    <row r="3019" spans="14:15" x14ac:dyDescent="0.4">
      <c r="N3019" s="59"/>
      <c r="O3019" s="60"/>
    </row>
    <row r="3020" spans="14:15" x14ac:dyDescent="0.4">
      <c r="N3020" s="59"/>
      <c r="O3020" s="60"/>
    </row>
    <row r="3021" spans="14:15" x14ac:dyDescent="0.4">
      <c r="N3021" s="59"/>
      <c r="O3021" s="60"/>
    </row>
    <row r="3022" spans="14:15" x14ac:dyDescent="0.4">
      <c r="N3022" s="59"/>
      <c r="O3022" s="60"/>
    </row>
    <row r="3023" spans="14:15" x14ac:dyDescent="0.4">
      <c r="N3023" s="59"/>
      <c r="O3023" s="60"/>
    </row>
    <row r="3024" spans="14:15" x14ac:dyDescent="0.4">
      <c r="N3024" s="59"/>
      <c r="O3024" s="60"/>
    </row>
    <row r="3025" spans="14:15" x14ac:dyDescent="0.4">
      <c r="N3025" s="59"/>
      <c r="O3025" s="60"/>
    </row>
    <row r="3026" spans="14:15" x14ac:dyDescent="0.4">
      <c r="N3026" s="59"/>
      <c r="O3026" s="60"/>
    </row>
    <row r="3027" spans="14:15" x14ac:dyDescent="0.4">
      <c r="N3027" s="59"/>
      <c r="O3027" s="60"/>
    </row>
    <row r="3028" spans="14:15" x14ac:dyDescent="0.4">
      <c r="N3028" s="59"/>
      <c r="O3028" s="60"/>
    </row>
    <row r="3029" spans="14:15" x14ac:dyDescent="0.4">
      <c r="N3029" s="59"/>
      <c r="O3029" s="60"/>
    </row>
    <row r="3030" spans="14:15" x14ac:dyDescent="0.4">
      <c r="N3030" s="59"/>
      <c r="O3030" s="60"/>
    </row>
    <row r="3031" spans="14:15" x14ac:dyDescent="0.4">
      <c r="N3031" s="59"/>
      <c r="O3031" s="60"/>
    </row>
    <row r="3032" spans="14:15" x14ac:dyDescent="0.4">
      <c r="N3032" s="59"/>
      <c r="O3032" s="60"/>
    </row>
    <row r="3033" spans="14:15" x14ac:dyDescent="0.4">
      <c r="N3033" s="59"/>
      <c r="O3033" s="60"/>
    </row>
    <row r="3034" spans="14:15" x14ac:dyDescent="0.4">
      <c r="N3034" s="59"/>
      <c r="O3034" s="60"/>
    </row>
    <row r="3035" spans="14:15" x14ac:dyDescent="0.4">
      <c r="N3035" s="59"/>
      <c r="O3035" s="60"/>
    </row>
    <row r="3036" spans="14:15" x14ac:dyDescent="0.4">
      <c r="N3036" s="59"/>
      <c r="O3036" s="60"/>
    </row>
    <row r="3037" spans="14:15" x14ac:dyDescent="0.4">
      <c r="N3037" s="59"/>
      <c r="O3037" s="60"/>
    </row>
    <row r="3038" spans="14:15" x14ac:dyDescent="0.4">
      <c r="N3038" s="59"/>
      <c r="O3038" s="60"/>
    </row>
    <row r="3039" spans="14:15" x14ac:dyDescent="0.4">
      <c r="N3039" s="59"/>
      <c r="O3039" s="60"/>
    </row>
    <row r="3040" spans="14:15" x14ac:dyDescent="0.4">
      <c r="N3040" s="59"/>
      <c r="O3040" s="60"/>
    </row>
    <row r="3041" spans="14:15" x14ac:dyDescent="0.4">
      <c r="N3041" s="59"/>
      <c r="O3041" s="60"/>
    </row>
    <row r="3042" spans="14:15" x14ac:dyDescent="0.4">
      <c r="N3042" s="59"/>
      <c r="O3042" s="60"/>
    </row>
    <row r="3043" spans="14:15" x14ac:dyDescent="0.4">
      <c r="N3043" s="59"/>
      <c r="O3043" s="60"/>
    </row>
    <row r="3044" spans="14:15" x14ac:dyDescent="0.4">
      <c r="N3044" s="59"/>
      <c r="O3044" s="60"/>
    </row>
    <row r="3045" spans="14:15" x14ac:dyDescent="0.4">
      <c r="N3045" s="59"/>
      <c r="O3045" s="60"/>
    </row>
    <row r="3046" spans="14:15" x14ac:dyDescent="0.4">
      <c r="N3046" s="59"/>
      <c r="O3046" s="60"/>
    </row>
    <row r="3047" spans="14:15" x14ac:dyDescent="0.4">
      <c r="N3047" s="59"/>
      <c r="O3047" s="60"/>
    </row>
    <row r="3048" spans="14:15" x14ac:dyDescent="0.4">
      <c r="N3048" s="59"/>
      <c r="O3048" s="60"/>
    </row>
    <row r="3049" spans="14:15" x14ac:dyDescent="0.4">
      <c r="N3049" s="59"/>
      <c r="O3049" s="60"/>
    </row>
    <row r="3050" spans="14:15" x14ac:dyDescent="0.4">
      <c r="N3050" s="59"/>
      <c r="O3050" s="60"/>
    </row>
    <row r="3051" spans="14:15" x14ac:dyDescent="0.4">
      <c r="N3051" s="59"/>
      <c r="O3051" s="60"/>
    </row>
    <row r="3052" spans="14:15" x14ac:dyDescent="0.4">
      <c r="N3052" s="59"/>
      <c r="O3052" s="60"/>
    </row>
    <row r="3053" spans="14:15" x14ac:dyDescent="0.4">
      <c r="N3053" s="59"/>
      <c r="O3053" s="60"/>
    </row>
    <row r="3054" spans="14:15" x14ac:dyDescent="0.4">
      <c r="N3054" s="59"/>
      <c r="O3054" s="60"/>
    </row>
    <row r="3055" spans="14:15" x14ac:dyDescent="0.4">
      <c r="N3055" s="59"/>
      <c r="O3055" s="60"/>
    </row>
    <row r="3056" spans="14:15" x14ac:dyDescent="0.4">
      <c r="N3056" s="59"/>
      <c r="O3056" s="60"/>
    </row>
    <row r="3057" spans="14:15" x14ac:dyDescent="0.4">
      <c r="N3057" s="59"/>
      <c r="O3057" s="60"/>
    </row>
    <row r="3058" spans="14:15" x14ac:dyDescent="0.4">
      <c r="N3058" s="59"/>
      <c r="O3058" s="60"/>
    </row>
    <row r="3059" spans="14:15" x14ac:dyDescent="0.4">
      <c r="N3059" s="59"/>
      <c r="O3059" s="60"/>
    </row>
    <row r="3060" spans="14:15" x14ac:dyDescent="0.4">
      <c r="N3060" s="59"/>
      <c r="O3060" s="60"/>
    </row>
    <row r="3061" spans="14:15" x14ac:dyDescent="0.4">
      <c r="N3061" s="59"/>
      <c r="O3061" s="60"/>
    </row>
    <row r="3062" spans="14:15" x14ac:dyDescent="0.4">
      <c r="N3062" s="59"/>
      <c r="O3062" s="60"/>
    </row>
    <row r="3063" spans="14:15" x14ac:dyDescent="0.4">
      <c r="N3063" s="59"/>
      <c r="O3063" s="60"/>
    </row>
    <row r="3064" spans="14:15" x14ac:dyDescent="0.4">
      <c r="N3064" s="59"/>
      <c r="O3064" s="60"/>
    </row>
    <row r="3065" spans="14:15" x14ac:dyDescent="0.4">
      <c r="N3065" s="59"/>
      <c r="O3065" s="60"/>
    </row>
    <row r="3066" spans="14:15" x14ac:dyDescent="0.4">
      <c r="N3066" s="59"/>
      <c r="O3066" s="60"/>
    </row>
    <row r="3067" spans="14:15" x14ac:dyDescent="0.4">
      <c r="N3067" s="59"/>
      <c r="O3067" s="60"/>
    </row>
    <row r="3068" spans="14:15" x14ac:dyDescent="0.4">
      <c r="N3068" s="59"/>
      <c r="O3068" s="60"/>
    </row>
    <row r="3069" spans="14:15" x14ac:dyDescent="0.4">
      <c r="N3069" s="59"/>
      <c r="O3069" s="60"/>
    </row>
    <row r="3070" spans="14:15" x14ac:dyDescent="0.4">
      <c r="N3070" s="59"/>
      <c r="O3070" s="60"/>
    </row>
    <row r="3071" spans="14:15" x14ac:dyDescent="0.4">
      <c r="N3071" s="59"/>
      <c r="O3071" s="60"/>
    </row>
    <row r="3072" spans="14:15" x14ac:dyDescent="0.4">
      <c r="N3072" s="59"/>
      <c r="O3072" s="60"/>
    </row>
    <row r="3073" spans="14:15" x14ac:dyDescent="0.4">
      <c r="N3073" s="59"/>
      <c r="O3073" s="60"/>
    </row>
    <row r="3074" spans="14:15" x14ac:dyDescent="0.4">
      <c r="N3074" s="59"/>
      <c r="O3074" s="60"/>
    </row>
    <row r="3075" spans="14:15" x14ac:dyDescent="0.4">
      <c r="N3075" s="59"/>
      <c r="O3075" s="60"/>
    </row>
    <row r="3076" spans="14:15" x14ac:dyDescent="0.4">
      <c r="N3076" s="59"/>
      <c r="O3076" s="60"/>
    </row>
    <row r="3077" spans="14:15" x14ac:dyDescent="0.4">
      <c r="N3077" s="59"/>
      <c r="O3077" s="60"/>
    </row>
    <row r="3078" spans="14:15" x14ac:dyDescent="0.4">
      <c r="N3078" s="59"/>
      <c r="O3078" s="60"/>
    </row>
    <row r="3079" spans="14:15" x14ac:dyDescent="0.4">
      <c r="N3079" s="59"/>
      <c r="O3079" s="60"/>
    </row>
    <row r="3080" spans="14:15" x14ac:dyDescent="0.4">
      <c r="N3080" s="59"/>
      <c r="O3080" s="60"/>
    </row>
    <row r="3081" spans="14:15" x14ac:dyDescent="0.4">
      <c r="N3081" s="59"/>
      <c r="O3081" s="60"/>
    </row>
    <row r="3082" spans="14:15" x14ac:dyDescent="0.4">
      <c r="N3082" s="59"/>
      <c r="O3082" s="60"/>
    </row>
    <row r="3083" spans="14:15" x14ac:dyDescent="0.4">
      <c r="N3083" s="59"/>
      <c r="O3083" s="60"/>
    </row>
    <row r="3084" spans="14:15" x14ac:dyDescent="0.4">
      <c r="N3084" s="59"/>
      <c r="O3084" s="60"/>
    </row>
    <row r="3085" spans="14:15" x14ac:dyDescent="0.4">
      <c r="N3085" s="59"/>
      <c r="O3085" s="60"/>
    </row>
    <row r="3086" spans="14:15" x14ac:dyDescent="0.4">
      <c r="N3086" s="59"/>
      <c r="O3086" s="60"/>
    </row>
    <row r="3087" spans="14:15" x14ac:dyDescent="0.4">
      <c r="N3087" s="59"/>
      <c r="O3087" s="60"/>
    </row>
    <row r="3088" spans="14:15" x14ac:dyDescent="0.4">
      <c r="N3088" s="59"/>
      <c r="O3088" s="60"/>
    </row>
    <row r="3089" spans="14:15" x14ac:dyDescent="0.4">
      <c r="N3089" s="59"/>
      <c r="O3089" s="60"/>
    </row>
    <row r="3090" spans="14:15" x14ac:dyDescent="0.4">
      <c r="N3090" s="59"/>
      <c r="O3090" s="60"/>
    </row>
    <row r="3091" spans="14:15" x14ac:dyDescent="0.4">
      <c r="N3091" s="59"/>
      <c r="O3091" s="60"/>
    </row>
    <row r="3092" spans="14:15" x14ac:dyDescent="0.4">
      <c r="N3092" s="59"/>
      <c r="O3092" s="60"/>
    </row>
    <row r="3093" spans="14:15" x14ac:dyDescent="0.4">
      <c r="N3093" s="59"/>
      <c r="O3093" s="60"/>
    </row>
    <row r="3094" spans="14:15" x14ac:dyDescent="0.4">
      <c r="N3094" s="59"/>
      <c r="O3094" s="60"/>
    </row>
    <row r="3095" spans="14:15" x14ac:dyDescent="0.4">
      <c r="N3095" s="59"/>
      <c r="O3095" s="60"/>
    </row>
    <row r="3096" spans="14:15" x14ac:dyDescent="0.4">
      <c r="N3096" s="59"/>
      <c r="O3096" s="60"/>
    </row>
    <row r="3097" spans="14:15" x14ac:dyDescent="0.4">
      <c r="N3097" s="59"/>
      <c r="O3097" s="60"/>
    </row>
    <row r="3098" spans="14:15" x14ac:dyDescent="0.4">
      <c r="N3098" s="59"/>
      <c r="O3098" s="60"/>
    </row>
    <row r="3099" spans="14:15" x14ac:dyDescent="0.4">
      <c r="N3099" s="59"/>
      <c r="O3099" s="60"/>
    </row>
    <row r="3100" spans="14:15" x14ac:dyDescent="0.4">
      <c r="N3100" s="59"/>
      <c r="O3100" s="60"/>
    </row>
    <row r="3101" spans="14:15" x14ac:dyDescent="0.4">
      <c r="N3101" s="59"/>
      <c r="O3101" s="60"/>
    </row>
    <row r="3102" spans="14:15" x14ac:dyDescent="0.4">
      <c r="N3102" s="59"/>
      <c r="O3102" s="60"/>
    </row>
    <row r="3103" spans="14:15" x14ac:dyDescent="0.4">
      <c r="N3103" s="59"/>
      <c r="O3103" s="60"/>
    </row>
    <row r="3104" spans="14:15" x14ac:dyDescent="0.4">
      <c r="N3104" s="59"/>
      <c r="O3104" s="60"/>
    </row>
    <row r="3105" spans="14:15" x14ac:dyDescent="0.4">
      <c r="N3105" s="59"/>
      <c r="O3105" s="60"/>
    </row>
    <row r="3106" spans="14:15" x14ac:dyDescent="0.4">
      <c r="N3106" s="59"/>
      <c r="O3106" s="60"/>
    </row>
    <row r="3107" spans="14:15" x14ac:dyDescent="0.4">
      <c r="N3107" s="59"/>
      <c r="O3107" s="60"/>
    </row>
    <row r="3108" spans="14:15" x14ac:dyDescent="0.4">
      <c r="N3108" s="59"/>
      <c r="O3108" s="60"/>
    </row>
    <row r="3109" spans="14:15" x14ac:dyDescent="0.4">
      <c r="N3109" s="59"/>
      <c r="O3109" s="60"/>
    </row>
    <row r="3110" spans="14:15" x14ac:dyDescent="0.4">
      <c r="N3110" s="59"/>
      <c r="O3110" s="60"/>
    </row>
    <row r="3111" spans="14:15" x14ac:dyDescent="0.4">
      <c r="N3111" s="59"/>
      <c r="O3111" s="60"/>
    </row>
    <row r="3112" spans="14:15" x14ac:dyDescent="0.4">
      <c r="N3112" s="59"/>
      <c r="O3112" s="60"/>
    </row>
    <row r="3113" spans="14:15" x14ac:dyDescent="0.4">
      <c r="N3113" s="59"/>
      <c r="O3113" s="60"/>
    </row>
    <row r="3114" spans="14:15" x14ac:dyDescent="0.4">
      <c r="N3114" s="59"/>
      <c r="O3114" s="60"/>
    </row>
    <row r="3115" spans="14:15" x14ac:dyDescent="0.4">
      <c r="N3115" s="59"/>
      <c r="O3115" s="60"/>
    </row>
    <row r="3116" spans="14:15" x14ac:dyDescent="0.4">
      <c r="N3116" s="59"/>
      <c r="O3116" s="60"/>
    </row>
    <row r="3117" spans="14:15" x14ac:dyDescent="0.4">
      <c r="N3117" s="59"/>
      <c r="O3117" s="60"/>
    </row>
    <row r="3118" spans="14:15" x14ac:dyDescent="0.4">
      <c r="N3118" s="59"/>
      <c r="O3118" s="60"/>
    </row>
    <row r="3119" spans="14:15" x14ac:dyDescent="0.4">
      <c r="N3119" s="59"/>
      <c r="O3119" s="60"/>
    </row>
    <row r="3120" spans="14:15" x14ac:dyDescent="0.4">
      <c r="N3120" s="59"/>
      <c r="O3120" s="60"/>
    </row>
    <row r="3121" spans="14:15" x14ac:dyDescent="0.4">
      <c r="N3121" s="59"/>
      <c r="O3121" s="60"/>
    </row>
    <row r="3122" spans="14:15" x14ac:dyDescent="0.4">
      <c r="N3122" s="59"/>
      <c r="O3122" s="60"/>
    </row>
    <row r="3123" spans="14:15" x14ac:dyDescent="0.4">
      <c r="N3123" s="59"/>
      <c r="O3123" s="60"/>
    </row>
    <row r="3124" spans="14:15" x14ac:dyDescent="0.4">
      <c r="N3124" s="59"/>
      <c r="O3124" s="60"/>
    </row>
    <row r="3125" spans="14:15" x14ac:dyDescent="0.4">
      <c r="N3125" s="59"/>
      <c r="O3125" s="60"/>
    </row>
    <row r="3126" spans="14:15" x14ac:dyDescent="0.4">
      <c r="N3126" s="59"/>
      <c r="O3126" s="60"/>
    </row>
    <row r="3127" spans="14:15" x14ac:dyDescent="0.4">
      <c r="N3127" s="59"/>
      <c r="O3127" s="60"/>
    </row>
    <row r="3128" spans="14:15" x14ac:dyDescent="0.4">
      <c r="N3128" s="59"/>
      <c r="O3128" s="60"/>
    </row>
    <row r="3129" spans="14:15" x14ac:dyDescent="0.4">
      <c r="N3129" s="59"/>
      <c r="O3129" s="60"/>
    </row>
    <row r="3130" spans="14:15" x14ac:dyDescent="0.4">
      <c r="N3130" s="59"/>
      <c r="O3130" s="60"/>
    </row>
    <row r="3131" spans="14:15" x14ac:dyDescent="0.4">
      <c r="N3131" s="59"/>
      <c r="O3131" s="60"/>
    </row>
    <row r="3132" spans="14:15" x14ac:dyDescent="0.4">
      <c r="N3132" s="59"/>
      <c r="O3132" s="60"/>
    </row>
    <row r="3133" spans="14:15" x14ac:dyDescent="0.4">
      <c r="N3133" s="59"/>
      <c r="O3133" s="60"/>
    </row>
    <row r="3134" spans="14:15" x14ac:dyDescent="0.4">
      <c r="N3134" s="59"/>
      <c r="O3134" s="60"/>
    </row>
    <row r="3135" spans="14:15" x14ac:dyDescent="0.4">
      <c r="N3135" s="59"/>
      <c r="O3135" s="60"/>
    </row>
    <row r="3136" spans="14:15" x14ac:dyDescent="0.4">
      <c r="N3136" s="59"/>
      <c r="O3136" s="60"/>
    </row>
    <row r="3137" spans="14:15" x14ac:dyDescent="0.4">
      <c r="N3137" s="59"/>
      <c r="O3137" s="60"/>
    </row>
    <row r="3138" spans="14:15" x14ac:dyDescent="0.4">
      <c r="N3138" s="59"/>
      <c r="O3138" s="60"/>
    </row>
    <row r="3139" spans="14:15" x14ac:dyDescent="0.4">
      <c r="N3139" s="59"/>
      <c r="O3139" s="60"/>
    </row>
    <row r="3140" spans="14:15" x14ac:dyDescent="0.4">
      <c r="N3140" s="59"/>
      <c r="O3140" s="60"/>
    </row>
    <row r="3141" spans="14:15" x14ac:dyDescent="0.4">
      <c r="N3141" s="59"/>
      <c r="O3141" s="60"/>
    </row>
    <row r="3142" spans="14:15" x14ac:dyDescent="0.4">
      <c r="N3142" s="59"/>
      <c r="O3142" s="60"/>
    </row>
    <row r="3143" spans="14:15" x14ac:dyDescent="0.4">
      <c r="N3143" s="59"/>
      <c r="O3143" s="60"/>
    </row>
    <row r="3144" spans="14:15" x14ac:dyDescent="0.4">
      <c r="N3144" s="59"/>
      <c r="O3144" s="60"/>
    </row>
    <row r="3145" spans="14:15" x14ac:dyDescent="0.4">
      <c r="N3145" s="59"/>
      <c r="O3145" s="60"/>
    </row>
    <row r="3146" spans="14:15" x14ac:dyDescent="0.4">
      <c r="N3146" s="59"/>
      <c r="O3146" s="60"/>
    </row>
    <row r="3147" spans="14:15" x14ac:dyDescent="0.4">
      <c r="N3147" s="59"/>
      <c r="O3147" s="60"/>
    </row>
    <row r="3148" spans="14:15" x14ac:dyDescent="0.4">
      <c r="N3148" s="59"/>
      <c r="O3148" s="60"/>
    </row>
    <row r="3149" spans="14:15" x14ac:dyDescent="0.4">
      <c r="N3149" s="59"/>
      <c r="O3149" s="60"/>
    </row>
    <row r="3150" spans="14:15" x14ac:dyDescent="0.4">
      <c r="N3150" s="59"/>
      <c r="O3150" s="60"/>
    </row>
    <row r="3151" spans="14:15" x14ac:dyDescent="0.4">
      <c r="N3151" s="59"/>
      <c r="O3151" s="60"/>
    </row>
    <row r="3152" spans="14:15" x14ac:dyDescent="0.4">
      <c r="N3152" s="59"/>
      <c r="O3152" s="60"/>
    </row>
    <row r="3153" spans="14:15" x14ac:dyDescent="0.4">
      <c r="N3153" s="59"/>
      <c r="O3153" s="60"/>
    </row>
    <row r="3154" spans="14:15" x14ac:dyDescent="0.4">
      <c r="N3154" s="59"/>
      <c r="O3154" s="60"/>
    </row>
    <row r="3155" spans="14:15" x14ac:dyDescent="0.4">
      <c r="N3155" s="59"/>
      <c r="O3155" s="60"/>
    </row>
    <row r="3156" spans="14:15" x14ac:dyDescent="0.4">
      <c r="N3156" s="59"/>
      <c r="O3156" s="60"/>
    </row>
    <row r="3157" spans="14:15" x14ac:dyDescent="0.4">
      <c r="N3157" s="59"/>
      <c r="O3157" s="60"/>
    </row>
    <row r="3158" spans="14:15" x14ac:dyDescent="0.4">
      <c r="N3158" s="59"/>
      <c r="O3158" s="60"/>
    </row>
    <row r="3159" spans="14:15" x14ac:dyDescent="0.4">
      <c r="N3159" s="59"/>
      <c r="O3159" s="60"/>
    </row>
    <row r="3160" spans="14:15" x14ac:dyDescent="0.4">
      <c r="N3160" s="59"/>
      <c r="O3160" s="60"/>
    </row>
    <row r="3161" spans="14:15" x14ac:dyDescent="0.4">
      <c r="N3161" s="59"/>
      <c r="O3161" s="60"/>
    </row>
    <row r="3162" spans="14:15" x14ac:dyDescent="0.4">
      <c r="N3162" s="59"/>
      <c r="O3162" s="60"/>
    </row>
    <row r="3163" spans="14:15" x14ac:dyDescent="0.4">
      <c r="N3163" s="59"/>
      <c r="O3163" s="60"/>
    </row>
    <row r="3164" spans="14:15" x14ac:dyDescent="0.4">
      <c r="N3164" s="59"/>
      <c r="O3164" s="60"/>
    </row>
    <row r="3165" spans="14:15" x14ac:dyDescent="0.4">
      <c r="N3165" s="59"/>
      <c r="O3165" s="60"/>
    </row>
    <row r="3166" spans="14:15" x14ac:dyDescent="0.4">
      <c r="N3166" s="59"/>
      <c r="O3166" s="60"/>
    </row>
    <row r="3167" spans="14:15" x14ac:dyDescent="0.4">
      <c r="N3167" s="59"/>
      <c r="O3167" s="60"/>
    </row>
    <row r="3168" spans="14:15" x14ac:dyDescent="0.4">
      <c r="N3168" s="59"/>
      <c r="O3168" s="60"/>
    </row>
    <row r="3169" spans="14:15" x14ac:dyDescent="0.4">
      <c r="N3169" s="59"/>
      <c r="O3169" s="60"/>
    </row>
    <row r="3170" spans="14:15" x14ac:dyDescent="0.4">
      <c r="N3170" s="59"/>
      <c r="O3170" s="60"/>
    </row>
    <row r="3171" spans="14:15" x14ac:dyDescent="0.4">
      <c r="N3171" s="59"/>
      <c r="O3171" s="60"/>
    </row>
    <row r="3172" spans="14:15" x14ac:dyDescent="0.4">
      <c r="N3172" s="59"/>
      <c r="O3172" s="60"/>
    </row>
    <row r="3173" spans="14:15" x14ac:dyDescent="0.4">
      <c r="N3173" s="59"/>
      <c r="O3173" s="60"/>
    </row>
    <row r="3174" spans="14:15" x14ac:dyDescent="0.4">
      <c r="N3174" s="59"/>
      <c r="O3174" s="60"/>
    </row>
    <row r="3175" spans="14:15" x14ac:dyDescent="0.4">
      <c r="N3175" s="59"/>
      <c r="O3175" s="60"/>
    </row>
    <row r="3176" spans="14:15" x14ac:dyDescent="0.4">
      <c r="N3176" s="59"/>
      <c r="O3176" s="60"/>
    </row>
    <row r="3177" spans="14:15" x14ac:dyDescent="0.4">
      <c r="N3177" s="59"/>
      <c r="O3177" s="60"/>
    </row>
    <row r="3178" spans="14:15" x14ac:dyDescent="0.4">
      <c r="N3178" s="59"/>
      <c r="O3178" s="60"/>
    </row>
    <row r="3179" spans="14:15" x14ac:dyDescent="0.4">
      <c r="N3179" s="59"/>
      <c r="O3179" s="60"/>
    </row>
    <row r="3180" spans="14:15" x14ac:dyDescent="0.4">
      <c r="N3180" s="59"/>
      <c r="O3180" s="60"/>
    </row>
    <row r="3181" spans="14:15" x14ac:dyDescent="0.4">
      <c r="N3181" s="59"/>
      <c r="O3181" s="60"/>
    </row>
    <row r="3182" spans="14:15" x14ac:dyDescent="0.4">
      <c r="N3182" s="59"/>
      <c r="O3182" s="60"/>
    </row>
    <row r="3183" spans="14:15" x14ac:dyDescent="0.4">
      <c r="N3183" s="59"/>
      <c r="O3183" s="60"/>
    </row>
    <row r="3184" spans="14:15" x14ac:dyDescent="0.4">
      <c r="N3184" s="59"/>
      <c r="O3184" s="60"/>
    </row>
    <row r="3185" spans="14:15" x14ac:dyDescent="0.4">
      <c r="N3185" s="59"/>
      <c r="O3185" s="60"/>
    </row>
    <row r="3186" spans="14:15" x14ac:dyDescent="0.4">
      <c r="N3186" s="59"/>
      <c r="O3186" s="60"/>
    </row>
    <row r="3187" spans="14:15" x14ac:dyDescent="0.4">
      <c r="N3187" s="59"/>
      <c r="O3187" s="60"/>
    </row>
    <row r="3188" spans="14:15" x14ac:dyDescent="0.4">
      <c r="N3188" s="59"/>
      <c r="O3188" s="60"/>
    </row>
    <row r="3189" spans="14:15" x14ac:dyDescent="0.4">
      <c r="N3189" s="59"/>
      <c r="O3189" s="60"/>
    </row>
    <row r="3190" spans="14:15" x14ac:dyDescent="0.4">
      <c r="N3190" s="59"/>
      <c r="O3190" s="60"/>
    </row>
    <row r="3191" spans="14:15" x14ac:dyDescent="0.4">
      <c r="N3191" s="59"/>
      <c r="O3191" s="60"/>
    </row>
    <row r="3192" spans="14:15" x14ac:dyDescent="0.4">
      <c r="N3192" s="59"/>
      <c r="O3192" s="60"/>
    </row>
    <row r="3193" spans="14:15" x14ac:dyDescent="0.4">
      <c r="N3193" s="59"/>
      <c r="O3193" s="60"/>
    </row>
    <row r="3194" spans="14:15" x14ac:dyDescent="0.4">
      <c r="N3194" s="59"/>
      <c r="O3194" s="60"/>
    </row>
    <row r="3195" spans="14:15" x14ac:dyDescent="0.4">
      <c r="N3195" s="59"/>
      <c r="O3195" s="60"/>
    </row>
    <row r="3196" spans="14:15" x14ac:dyDescent="0.4">
      <c r="N3196" s="59"/>
      <c r="O3196" s="60"/>
    </row>
    <row r="3197" spans="14:15" x14ac:dyDescent="0.4">
      <c r="N3197" s="59"/>
      <c r="O3197" s="60"/>
    </row>
    <row r="3198" spans="14:15" x14ac:dyDescent="0.4">
      <c r="N3198" s="59"/>
      <c r="O3198" s="60"/>
    </row>
    <row r="3199" spans="14:15" x14ac:dyDescent="0.4">
      <c r="N3199" s="59"/>
      <c r="O3199" s="60"/>
    </row>
    <row r="3200" spans="14:15" x14ac:dyDescent="0.4">
      <c r="N3200" s="59"/>
      <c r="O3200" s="60"/>
    </row>
    <row r="3201" spans="14:15" x14ac:dyDescent="0.4">
      <c r="N3201" s="59"/>
      <c r="O3201" s="60"/>
    </row>
    <row r="3202" spans="14:15" x14ac:dyDescent="0.4">
      <c r="N3202" s="59"/>
      <c r="O3202" s="60"/>
    </row>
    <row r="3203" spans="14:15" x14ac:dyDescent="0.4">
      <c r="N3203" s="59"/>
      <c r="O3203" s="60"/>
    </row>
    <row r="3204" spans="14:15" x14ac:dyDescent="0.4">
      <c r="N3204" s="59"/>
      <c r="O3204" s="60"/>
    </row>
    <row r="3205" spans="14:15" x14ac:dyDescent="0.4">
      <c r="N3205" s="59"/>
      <c r="O3205" s="60"/>
    </row>
    <row r="3206" spans="14:15" x14ac:dyDescent="0.4">
      <c r="N3206" s="59"/>
      <c r="O3206" s="60"/>
    </row>
    <row r="3207" spans="14:15" x14ac:dyDescent="0.4">
      <c r="N3207" s="59"/>
      <c r="O3207" s="60"/>
    </row>
    <row r="3208" spans="14:15" x14ac:dyDescent="0.4">
      <c r="N3208" s="59"/>
      <c r="O3208" s="60"/>
    </row>
    <row r="3209" spans="14:15" x14ac:dyDescent="0.4">
      <c r="N3209" s="59"/>
      <c r="O3209" s="60"/>
    </row>
    <row r="3210" spans="14:15" x14ac:dyDescent="0.4">
      <c r="N3210" s="59"/>
      <c r="O3210" s="60"/>
    </row>
    <row r="3211" spans="14:15" x14ac:dyDescent="0.4">
      <c r="N3211" s="59"/>
      <c r="O3211" s="60"/>
    </row>
    <row r="3212" spans="14:15" x14ac:dyDescent="0.4">
      <c r="N3212" s="59"/>
      <c r="O3212" s="60"/>
    </row>
    <row r="3213" spans="14:15" x14ac:dyDescent="0.4">
      <c r="N3213" s="59"/>
      <c r="O3213" s="60"/>
    </row>
    <row r="3214" spans="14:15" x14ac:dyDescent="0.4">
      <c r="N3214" s="59"/>
      <c r="O3214" s="60"/>
    </row>
    <row r="3215" spans="14:15" x14ac:dyDescent="0.4">
      <c r="N3215" s="59"/>
      <c r="O3215" s="60"/>
    </row>
    <row r="3216" spans="14:15" x14ac:dyDescent="0.4">
      <c r="N3216" s="59"/>
      <c r="O3216" s="60"/>
    </row>
    <row r="3217" spans="14:15" x14ac:dyDescent="0.4">
      <c r="N3217" s="59"/>
      <c r="O3217" s="60"/>
    </row>
    <row r="3218" spans="14:15" x14ac:dyDescent="0.4">
      <c r="N3218" s="59"/>
      <c r="O3218" s="60"/>
    </row>
    <row r="3219" spans="14:15" x14ac:dyDescent="0.4">
      <c r="N3219" s="59"/>
      <c r="O3219" s="60"/>
    </row>
    <row r="3220" spans="14:15" x14ac:dyDescent="0.4">
      <c r="N3220" s="59"/>
      <c r="O3220" s="60"/>
    </row>
    <row r="3221" spans="14:15" x14ac:dyDescent="0.4">
      <c r="N3221" s="59"/>
      <c r="O3221" s="60"/>
    </row>
    <row r="3222" spans="14:15" x14ac:dyDescent="0.4">
      <c r="N3222" s="59"/>
      <c r="O3222" s="60"/>
    </row>
    <row r="3223" spans="14:15" x14ac:dyDescent="0.4">
      <c r="N3223" s="59"/>
      <c r="O3223" s="60"/>
    </row>
    <row r="3224" spans="14:15" x14ac:dyDescent="0.4">
      <c r="N3224" s="59"/>
      <c r="O3224" s="60"/>
    </row>
    <row r="3225" spans="14:15" x14ac:dyDescent="0.4">
      <c r="N3225" s="59"/>
      <c r="O3225" s="60"/>
    </row>
    <row r="3226" spans="14:15" x14ac:dyDescent="0.4">
      <c r="N3226" s="59"/>
      <c r="O3226" s="60"/>
    </row>
    <row r="3227" spans="14:15" x14ac:dyDescent="0.4">
      <c r="N3227" s="59"/>
      <c r="O3227" s="60"/>
    </row>
    <row r="3228" spans="14:15" x14ac:dyDescent="0.4">
      <c r="N3228" s="59"/>
      <c r="O3228" s="60"/>
    </row>
    <row r="3229" spans="14:15" x14ac:dyDescent="0.4">
      <c r="N3229" s="59"/>
      <c r="O3229" s="60"/>
    </row>
    <row r="3230" spans="14:15" x14ac:dyDescent="0.4">
      <c r="N3230" s="59"/>
      <c r="O3230" s="60"/>
    </row>
    <row r="3231" spans="14:15" x14ac:dyDescent="0.4">
      <c r="N3231" s="59"/>
      <c r="O3231" s="60"/>
    </row>
    <row r="3232" spans="14:15" x14ac:dyDescent="0.4">
      <c r="N3232" s="59"/>
      <c r="O3232" s="60"/>
    </row>
    <row r="3233" spans="14:15" x14ac:dyDescent="0.4">
      <c r="N3233" s="59"/>
      <c r="O3233" s="60"/>
    </row>
    <row r="3234" spans="14:15" x14ac:dyDescent="0.4">
      <c r="N3234" s="59"/>
      <c r="O3234" s="60"/>
    </row>
    <row r="3235" spans="14:15" x14ac:dyDescent="0.4">
      <c r="N3235" s="59"/>
      <c r="O3235" s="60"/>
    </row>
    <row r="3236" spans="14:15" x14ac:dyDescent="0.4">
      <c r="N3236" s="59"/>
      <c r="O3236" s="60"/>
    </row>
    <row r="3237" spans="14:15" x14ac:dyDescent="0.4">
      <c r="N3237" s="59"/>
      <c r="O3237" s="60"/>
    </row>
    <row r="3238" spans="14:15" x14ac:dyDescent="0.4">
      <c r="N3238" s="59"/>
      <c r="O3238" s="60"/>
    </row>
    <row r="3239" spans="14:15" x14ac:dyDescent="0.4">
      <c r="N3239" s="59"/>
      <c r="O3239" s="60"/>
    </row>
    <row r="3240" spans="14:15" x14ac:dyDescent="0.4">
      <c r="N3240" s="59"/>
      <c r="O3240" s="60"/>
    </row>
    <row r="3241" spans="14:15" x14ac:dyDescent="0.4">
      <c r="N3241" s="59"/>
      <c r="O3241" s="60"/>
    </row>
    <row r="3242" spans="14:15" x14ac:dyDescent="0.4">
      <c r="N3242" s="59"/>
      <c r="O3242" s="60"/>
    </row>
    <row r="3243" spans="14:15" x14ac:dyDescent="0.4">
      <c r="N3243" s="59"/>
      <c r="O3243" s="60"/>
    </row>
    <row r="3244" spans="14:15" x14ac:dyDescent="0.4">
      <c r="N3244" s="59"/>
      <c r="O3244" s="60"/>
    </row>
    <row r="3245" spans="14:15" x14ac:dyDescent="0.4">
      <c r="N3245" s="59"/>
      <c r="O3245" s="60"/>
    </row>
    <row r="3246" spans="14:15" x14ac:dyDescent="0.4">
      <c r="N3246" s="59"/>
      <c r="O3246" s="60"/>
    </row>
    <row r="3247" spans="14:15" x14ac:dyDescent="0.4">
      <c r="N3247" s="59"/>
      <c r="O3247" s="60"/>
    </row>
    <row r="3248" spans="14:15" x14ac:dyDescent="0.4">
      <c r="N3248" s="59"/>
      <c r="O3248" s="60"/>
    </row>
    <row r="3249" spans="14:15" x14ac:dyDescent="0.4">
      <c r="N3249" s="59"/>
      <c r="O3249" s="60"/>
    </row>
    <row r="3250" spans="14:15" x14ac:dyDescent="0.4">
      <c r="N3250" s="59"/>
      <c r="O3250" s="60"/>
    </row>
    <row r="3251" spans="14:15" x14ac:dyDescent="0.4">
      <c r="N3251" s="59"/>
      <c r="O3251" s="60"/>
    </row>
    <row r="3252" spans="14:15" x14ac:dyDescent="0.4">
      <c r="N3252" s="59"/>
      <c r="O3252" s="60"/>
    </row>
    <row r="3253" spans="14:15" x14ac:dyDescent="0.4">
      <c r="N3253" s="59"/>
      <c r="O3253" s="60"/>
    </row>
    <row r="3254" spans="14:15" x14ac:dyDescent="0.4">
      <c r="N3254" s="59"/>
      <c r="O3254" s="60"/>
    </row>
    <row r="3255" spans="14:15" x14ac:dyDescent="0.4">
      <c r="N3255" s="59"/>
      <c r="O3255" s="60"/>
    </row>
    <row r="3256" spans="14:15" x14ac:dyDescent="0.4">
      <c r="N3256" s="59"/>
      <c r="O3256" s="60"/>
    </row>
    <row r="3257" spans="14:15" x14ac:dyDescent="0.4">
      <c r="N3257" s="59"/>
      <c r="O3257" s="60"/>
    </row>
    <row r="3258" spans="14:15" x14ac:dyDescent="0.4">
      <c r="N3258" s="59"/>
      <c r="O3258" s="60"/>
    </row>
    <row r="3259" spans="14:15" x14ac:dyDescent="0.4">
      <c r="N3259" s="59"/>
      <c r="O3259" s="60"/>
    </row>
    <row r="3260" spans="14:15" x14ac:dyDescent="0.4">
      <c r="N3260" s="59"/>
      <c r="O3260" s="60"/>
    </row>
    <row r="3261" spans="14:15" x14ac:dyDescent="0.4">
      <c r="N3261" s="59"/>
      <c r="O3261" s="60"/>
    </row>
    <row r="3262" spans="14:15" x14ac:dyDescent="0.4">
      <c r="N3262" s="59"/>
      <c r="O3262" s="60"/>
    </row>
    <row r="3263" spans="14:15" x14ac:dyDescent="0.4">
      <c r="N3263" s="59"/>
      <c r="O3263" s="60"/>
    </row>
    <row r="3264" spans="14:15" x14ac:dyDescent="0.4">
      <c r="N3264" s="59"/>
      <c r="O3264" s="60"/>
    </row>
    <row r="3265" spans="14:15" x14ac:dyDescent="0.4">
      <c r="N3265" s="59"/>
      <c r="O3265" s="60"/>
    </row>
    <row r="3266" spans="14:15" x14ac:dyDescent="0.4">
      <c r="N3266" s="59"/>
      <c r="O3266" s="60"/>
    </row>
    <row r="3267" spans="14:15" x14ac:dyDescent="0.4">
      <c r="N3267" s="59"/>
      <c r="O3267" s="60"/>
    </row>
    <row r="3268" spans="14:15" x14ac:dyDescent="0.4">
      <c r="N3268" s="59"/>
      <c r="O3268" s="60"/>
    </row>
    <row r="3269" spans="14:15" x14ac:dyDescent="0.4">
      <c r="N3269" s="59"/>
      <c r="O3269" s="60"/>
    </row>
    <row r="3270" spans="14:15" x14ac:dyDescent="0.4">
      <c r="N3270" s="59"/>
      <c r="O3270" s="60"/>
    </row>
    <row r="3271" spans="14:15" x14ac:dyDescent="0.4">
      <c r="N3271" s="59"/>
      <c r="O3271" s="60"/>
    </row>
    <row r="3272" spans="14:15" x14ac:dyDescent="0.4">
      <c r="N3272" s="59"/>
      <c r="O3272" s="60"/>
    </row>
    <row r="3273" spans="14:15" x14ac:dyDescent="0.4">
      <c r="N3273" s="59"/>
      <c r="O3273" s="60"/>
    </row>
    <row r="3274" spans="14:15" x14ac:dyDescent="0.4">
      <c r="N3274" s="59"/>
      <c r="O3274" s="60"/>
    </row>
    <row r="3275" spans="14:15" x14ac:dyDescent="0.4">
      <c r="N3275" s="59"/>
      <c r="O3275" s="60"/>
    </row>
    <row r="3276" spans="14:15" x14ac:dyDescent="0.4">
      <c r="N3276" s="59"/>
      <c r="O3276" s="60"/>
    </row>
    <row r="3277" spans="14:15" x14ac:dyDescent="0.4">
      <c r="N3277" s="59"/>
      <c r="O3277" s="60"/>
    </row>
    <row r="3278" spans="14:15" x14ac:dyDescent="0.4">
      <c r="N3278" s="59"/>
      <c r="O3278" s="60"/>
    </row>
    <row r="3279" spans="14:15" x14ac:dyDescent="0.4">
      <c r="N3279" s="59"/>
      <c r="O3279" s="60"/>
    </row>
    <row r="3280" spans="14:15" x14ac:dyDescent="0.4">
      <c r="N3280" s="59"/>
      <c r="O3280" s="60"/>
    </row>
    <row r="3281" spans="14:15" x14ac:dyDescent="0.4">
      <c r="N3281" s="59"/>
      <c r="O3281" s="60"/>
    </row>
    <row r="3282" spans="14:15" x14ac:dyDescent="0.4">
      <c r="N3282" s="59"/>
      <c r="O3282" s="60"/>
    </row>
    <row r="3283" spans="14:15" x14ac:dyDescent="0.4">
      <c r="N3283" s="59"/>
      <c r="O3283" s="60"/>
    </row>
    <row r="3284" spans="14:15" x14ac:dyDescent="0.4">
      <c r="N3284" s="59"/>
      <c r="O3284" s="60"/>
    </row>
    <row r="3285" spans="14:15" x14ac:dyDescent="0.4">
      <c r="N3285" s="59"/>
      <c r="O3285" s="60"/>
    </row>
    <row r="3286" spans="14:15" x14ac:dyDescent="0.4">
      <c r="N3286" s="59"/>
      <c r="O3286" s="60"/>
    </row>
    <row r="3287" spans="14:15" x14ac:dyDescent="0.4">
      <c r="N3287" s="59"/>
      <c r="O3287" s="60"/>
    </row>
    <row r="3288" spans="14:15" x14ac:dyDescent="0.4">
      <c r="N3288" s="59"/>
      <c r="O3288" s="60"/>
    </row>
    <row r="3289" spans="14:15" x14ac:dyDescent="0.4">
      <c r="N3289" s="59"/>
      <c r="O3289" s="60"/>
    </row>
    <row r="3290" spans="14:15" x14ac:dyDescent="0.4">
      <c r="N3290" s="59"/>
      <c r="O3290" s="60"/>
    </row>
    <row r="3291" spans="14:15" x14ac:dyDescent="0.4">
      <c r="N3291" s="59"/>
      <c r="O3291" s="60"/>
    </row>
    <row r="3292" spans="14:15" x14ac:dyDescent="0.4">
      <c r="N3292" s="59"/>
      <c r="O3292" s="60"/>
    </row>
    <row r="3293" spans="14:15" x14ac:dyDescent="0.4">
      <c r="N3293" s="59"/>
      <c r="O3293" s="60"/>
    </row>
    <row r="3294" spans="14:15" x14ac:dyDescent="0.4">
      <c r="N3294" s="59"/>
      <c r="O3294" s="60"/>
    </row>
    <row r="3295" spans="14:15" x14ac:dyDescent="0.4">
      <c r="N3295" s="59"/>
      <c r="O3295" s="60"/>
    </row>
    <row r="3296" spans="14:15" x14ac:dyDescent="0.4">
      <c r="N3296" s="59"/>
      <c r="O3296" s="60"/>
    </row>
    <row r="3297" spans="14:15" x14ac:dyDescent="0.4">
      <c r="N3297" s="59"/>
      <c r="O3297" s="60"/>
    </row>
    <row r="3298" spans="14:15" x14ac:dyDescent="0.4">
      <c r="N3298" s="59"/>
      <c r="O3298" s="60"/>
    </row>
    <row r="3299" spans="14:15" x14ac:dyDescent="0.4">
      <c r="N3299" s="59"/>
      <c r="O3299" s="60"/>
    </row>
    <row r="3300" spans="14:15" x14ac:dyDescent="0.4">
      <c r="N3300" s="59"/>
      <c r="O3300" s="60"/>
    </row>
    <row r="3301" spans="14:15" x14ac:dyDescent="0.4">
      <c r="N3301" s="59"/>
      <c r="O3301" s="60"/>
    </row>
    <row r="3302" spans="14:15" x14ac:dyDescent="0.4">
      <c r="N3302" s="59"/>
      <c r="O3302" s="60"/>
    </row>
    <row r="3303" spans="14:15" x14ac:dyDescent="0.4">
      <c r="N3303" s="59"/>
      <c r="O3303" s="60"/>
    </row>
    <row r="3304" spans="14:15" x14ac:dyDescent="0.4">
      <c r="N3304" s="59"/>
      <c r="O3304" s="60"/>
    </row>
    <row r="3305" spans="14:15" x14ac:dyDescent="0.4">
      <c r="N3305" s="59"/>
      <c r="O3305" s="60"/>
    </row>
    <row r="3306" spans="14:15" x14ac:dyDescent="0.4">
      <c r="N3306" s="59"/>
      <c r="O3306" s="60"/>
    </row>
    <row r="3307" spans="14:15" x14ac:dyDescent="0.4">
      <c r="N3307" s="59"/>
      <c r="O3307" s="60"/>
    </row>
    <row r="3308" spans="14:15" x14ac:dyDescent="0.4">
      <c r="N3308" s="59"/>
      <c r="O3308" s="60"/>
    </row>
    <row r="3309" spans="14:15" x14ac:dyDescent="0.4">
      <c r="N3309" s="59"/>
      <c r="O3309" s="60"/>
    </row>
    <row r="3310" spans="14:15" x14ac:dyDescent="0.4">
      <c r="N3310" s="59"/>
      <c r="O3310" s="60"/>
    </row>
    <row r="3311" spans="14:15" x14ac:dyDescent="0.4">
      <c r="N3311" s="59"/>
      <c r="O3311" s="60"/>
    </row>
    <row r="3312" spans="14:15" x14ac:dyDescent="0.4">
      <c r="N3312" s="59"/>
      <c r="O3312" s="60"/>
    </row>
    <row r="3313" spans="14:15" x14ac:dyDescent="0.4">
      <c r="N3313" s="59"/>
      <c r="O3313" s="60"/>
    </row>
    <row r="3314" spans="14:15" x14ac:dyDescent="0.4">
      <c r="N3314" s="59"/>
      <c r="O3314" s="60"/>
    </row>
    <row r="3315" spans="14:15" x14ac:dyDescent="0.4">
      <c r="N3315" s="59"/>
      <c r="O3315" s="60"/>
    </row>
    <row r="3316" spans="14:15" x14ac:dyDescent="0.4">
      <c r="N3316" s="59"/>
      <c r="O3316" s="60"/>
    </row>
    <row r="3317" spans="14:15" x14ac:dyDescent="0.4">
      <c r="N3317" s="59"/>
      <c r="O3317" s="60"/>
    </row>
    <row r="3318" spans="14:15" x14ac:dyDescent="0.4">
      <c r="N3318" s="59"/>
      <c r="O3318" s="60"/>
    </row>
    <row r="3319" spans="14:15" x14ac:dyDescent="0.4">
      <c r="N3319" s="59"/>
      <c r="O3319" s="60"/>
    </row>
    <row r="3320" spans="14:15" x14ac:dyDescent="0.4">
      <c r="N3320" s="59"/>
      <c r="O3320" s="60"/>
    </row>
    <row r="3321" spans="14:15" x14ac:dyDescent="0.4">
      <c r="N3321" s="59"/>
      <c r="O3321" s="60"/>
    </row>
    <row r="3322" spans="14:15" x14ac:dyDescent="0.4">
      <c r="N3322" s="59"/>
      <c r="O3322" s="60"/>
    </row>
    <row r="3323" spans="14:15" x14ac:dyDescent="0.4">
      <c r="N3323" s="59"/>
      <c r="O3323" s="60"/>
    </row>
    <row r="3324" spans="14:15" x14ac:dyDescent="0.4">
      <c r="N3324" s="59"/>
      <c r="O3324" s="60"/>
    </row>
    <row r="3325" spans="14:15" x14ac:dyDescent="0.4">
      <c r="N3325" s="59"/>
      <c r="O3325" s="60"/>
    </row>
    <row r="3326" spans="14:15" x14ac:dyDescent="0.4">
      <c r="N3326" s="59"/>
      <c r="O3326" s="60"/>
    </row>
    <row r="3327" spans="14:15" x14ac:dyDescent="0.4">
      <c r="N3327" s="59"/>
      <c r="O3327" s="60"/>
    </row>
    <row r="3328" spans="14:15" x14ac:dyDescent="0.4">
      <c r="N3328" s="59"/>
      <c r="O3328" s="60"/>
    </row>
    <row r="3329" spans="14:15" x14ac:dyDescent="0.4">
      <c r="N3329" s="59"/>
      <c r="O3329" s="60"/>
    </row>
    <row r="3330" spans="14:15" x14ac:dyDescent="0.4">
      <c r="N3330" s="59"/>
      <c r="O3330" s="60"/>
    </row>
    <row r="3331" spans="14:15" x14ac:dyDescent="0.4">
      <c r="N3331" s="59"/>
      <c r="O3331" s="60"/>
    </row>
    <row r="3332" spans="14:15" x14ac:dyDescent="0.4">
      <c r="N3332" s="59"/>
      <c r="O3332" s="60"/>
    </row>
    <row r="3333" spans="14:15" x14ac:dyDescent="0.4">
      <c r="N3333" s="59"/>
      <c r="O3333" s="60"/>
    </row>
    <row r="3334" spans="14:15" x14ac:dyDescent="0.4">
      <c r="N3334" s="59"/>
      <c r="O3334" s="60"/>
    </row>
    <row r="3335" spans="14:15" x14ac:dyDescent="0.4">
      <c r="N3335" s="59"/>
      <c r="O3335" s="60"/>
    </row>
    <row r="3336" spans="14:15" x14ac:dyDescent="0.4">
      <c r="N3336" s="59"/>
      <c r="O3336" s="60"/>
    </row>
    <row r="3337" spans="14:15" x14ac:dyDescent="0.4">
      <c r="N3337" s="59"/>
      <c r="O3337" s="60"/>
    </row>
    <row r="3338" spans="14:15" x14ac:dyDescent="0.4">
      <c r="N3338" s="59"/>
      <c r="O3338" s="60"/>
    </row>
    <row r="3339" spans="14:15" x14ac:dyDescent="0.4">
      <c r="N3339" s="59"/>
      <c r="O3339" s="60"/>
    </row>
    <row r="3340" spans="14:15" x14ac:dyDescent="0.4">
      <c r="N3340" s="59"/>
      <c r="O3340" s="60"/>
    </row>
    <row r="3341" spans="14:15" x14ac:dyDescent="0.4">
      <c r="N3341" s="59"/>
      <c r="O3341" s="60"/>
    </row>
    <row r="3342" spans="14:15" x14ac:dyDescent="0.4">
      <c r="N3342" s="59"/>
      <c r="O3342" s="60"/>
    </row>
    <row r="3343" spans="14:15" x14ac:dyDescent="0.4">
      <c r="N3343" s="59"/>
      <c r="O3343" s="60"/>
    </row>
    <row r="3344" spans="14:15" x14ac:dyDescent="0.4">
      <c r="N3344" s="59"/>
      <c r="O3344" s="60"/>
    </row>
    <row r="3345" spans="14:15" x14ac:dyDescent="0.4">
      <c r="N3345" s="59"/>
      <c r="O3345" s="60"/>
    </row>
    <row r="3346" spans="14:15" x14ac:dyDescent="0.4">
      <c r="N3346" s="59"/>
      <c r="O3346" s="60"/>
    </row>
    <row r="3347" spans="14:15" x14ac:dyDescent="0.4">
      <c r="N3347" s="59"/>
      <c r="O3347" s="60"/>
    </row>
    <row r="3348" spans="14:15" x14ac:dyDescent="0.4">
      <c r="N3348" s="59"/>
      <c r="O3348" s="60"/>
    </row>
    <row r="3349" spans="14:15" x14ac:dyDescent="0.4">
      <c r="N3349" s="59"/>
      <c r="O3349" s="60"/>
    </row>
    <row r="3350" spans="14:15" x14ac:dyDescent="0.4">
      <c r="N3350" s="59"/>
      <c r="O3350" s="60"/>
    </row>
    <row r="3351" spans="14:15" x14ac:dyDescent="0.4">
      <c r="N3351" s="59"/>
      <c r="O3351" s="60"/>
    </row>
    <row r="3352" spans="14:15" x14ac:dyDescent="0.4">
      <c r="N3352" s="59"/>
      <c r="O3352" s="60"/>
    </row>
    <row r="3353" spans="14:15" x14ac:dyDescent="0.4">
      <c r="N3353" s="59"/>
      <c r="O3353" s="60"/>
    </row>
    <row r="3354" spans="14:15" x14ac:dyDescent="0.4">
      <c r="N3354" s="59"/>
      <c r="O3354" s="60"/>
    </row>
    <row r="3355" spans="14:15" x14ac:dyDescent="0.4">
      <c r="N3355" s="59"/>
      <c r="O3355" s="60"/>
    </row>
    <row r="3356" spans="14:15" x14ac:dyDescent="0.4">
      <c r="N3356" s="59"/>
      <c r="O3356" s="60"/>
    </row>
    <row r="3357" spans="14:15" x14ac:dyDescent="0.4">
      <c r="N3357" s="59"/>
      <c r="O3357" s="60"/>
    </row>
    <row r="3358" spans="14:15" x14ac:dyDescent="0.4">
      <c r="N3358" s="59"/>
      <c r="O3358" s="60"/>
    </row>
    <row r="3359" spans="14:15" x14ac:dyDescent="0.4">
      <c r="N3359" s="59"/>
      <c r="O3359" s="60"/>
    </row>
    <row r="3360" spans="14:15" x14ac:dyDescent="0.4">
      <c r="N3360" s="59"/>
      <c r="O3360" s="60"/>
    </row>
    <row r="3361" spans="14:15" x14ac:dyDescent="0.4">
      <c r="N3361" s="59"/>
      <c r="O3361" s="60"/>
    </row>
    <row r="3362" spans="14:15" x14ac:dyDescent="0.4">
      <c r="N3362" s="59"/>
      <c r="O3362" s="60"/>
    </row>
    <row r="3363" spans="14:15" x14ac:dyDescent="0.4">
      <c r="N3363" s="59"/>
      <c r="O3363" s="60"/>
    </row>
    <row r="3364" spans="14:15" x14ac:dyDescent="0.4">
      <c r="N3364" s="59"/>
      <c r="O3364" s="60"/>
    </row>
    <row r="3365" spans="14:15" x14ac:dyDescent="0.4">
      <c r="N3365" s="59"/>
      <c r="O3365" s="60"/>
    </row>
    <row r="3366" spans="14:15" x14ac:dyDescent="0.4">
      <c r="N3366" s="59"/>
      <c r="O3366" s="60"/>
    </row>
    <row r="3367" spans="14:15" x14ac:dyDescent="0.4">
      <c r="N3367" s="59"/>
      <c r="O3367" s="60"/>
    </row>
    <row r="3368" spans="14:15" x14ac:dyDescent="0.4">
      <c r="N3368" s="59"/>
      <c r="O3368" s="60"/>
    </row>
    <row r="3369" spans="14:15" x14ac:dyDescent="0.4">
      <c r="N3369" s="59"/>
      <c r="O3369" s="60"/>
    </row>
    <row r="3370" spans="14:15" x14ac:dyDescent="0.4">
      <c r="N3370" s="59"/>
      <c r="O3370" s="60"/>
    </row>
    <row r="3371" spans="14:15" x14ac:dyDescent="0.4">
      <c r="N3371" s="59"/>
      <c r="O3371" s="60"/>
    </row>
    <row r="3372" spans="14:15" x14ac:dyDescent="0.4">
      <c r="N3372" s="59"/>
      <c r="O3372" s="60"/>
    </row>
    <row r="3373" spans="14:15" x14ac:dyDescent="0.4">
      <c r="N3373" s="59"/>
      <c r="O3373" s="60"/>
    </row>
    <row r="3374" spans="14:15" x14ac:dyDescent="0.4">
      <c r="N3374" s="59"/>
      <c r="O3374" s="60"/>
    </row>
    <row r="3375" spans="14:15" x14ac:dyDescent="0.4">
      <c r="N3375" s="59"/>
      <c r="O3375" s="60"/>
    </row>
    <row r="3376" spans="14:15" x14ac:dyDescent="0.4">
      <c r="N3376" s="59"/>
      <c r="O3376" s="60"/>
    </row>
    <row r="3377" spans="14:15" x14ac:dyDescent="0.4">
      <c r="N3377" s="59"/>
      <c r="O3377" s="60"/>
    </row>
    <row r="3378" spans="14:15" x14ac:dyDescent="0.4">
      <c r="N3378" s="59"/>
      <c r="O3378" s="60"/>
    </row>
    <row r="3379" spans="14:15" x14ac:dyDescent="0.4">
      <c r="N3379" s="59"/>
      <c r="O3379" s="60"/>
    </row>
    <row r="3380" spans="14:15" x14ac:dyDescent="0.4">
      <c r="N3380" s="59"/>
      <c r="O3380" s="60"/>
    </row>
    <row r="3381" spans="14:15" x14ac:dyDescent="0.4">
      <c r="N3381" s="59"/>
      <c r="O3381" s="60"/>
    </row>
    <row r="3382" spans="14:15" x14ac:dyDescent="0.4">
      <c r="N3382" s="59"/>
      <c r="O3382" s="60"/>
    </row>
    <row r="3383" spans="14:15" x14ac:dyDescent="0.4">
      <c r="N3383" s="59"/>
      <c r="O3383" s="60"/>
    </row>
    <row r="3384" spans="14:15" x14ac:dyDescent="0.4">
      <c r="N3384" s="59"/>
      <c r="O3384" s="60"/>
    </row>
    <row r="3385" spans="14:15" x14ac:dyDescent="0.4">
      <c r="N3385" s="59"/>
      <c r="O3385" s="60"/>
    </row>
    <row r="3386" spans="14:15" x14ac:dyDescent="0.4">
      <c r="N3386" s="59"/>
      <c r="O3386" s="60"/>
    </row>
    <row r="3387" spans="14:15" x14ac:dyDescent="0.4">
      <c r="N3387" s="59"/>
      <c r="O3387" s="60"/>
    </row>
    <row r="3388" spans="14:15" x14ac:dyDescent="0.4">
      <c r="N3388" s="59"/>
      <c r="O3388" s="60"/>
    </row>
    <row r="3389" spans="14:15" x14ac:dyDescent="0.4">
      <c r="N3389" s="59"/>
      <c r="O3389" s="60"/>
    </row>
    <row r="3390" spans="14:15" x14ac:dyDescent="0.4">
      <c r="N3390" s="59"/>
      <c r="O3390" s="60"/>
    </row>
    <row r="3391" spans="14:15" x14ac:dyDescent="0.4">
      <c r="N3391" s="59"/>
      <c r="O3391" s="60"/>
    </row>
    <row r="3392" spans="14:15" x14ac:dyDescent="0.4">
      <c r="N3392" s="59"/>
      <c r="O3392" s="60"/>
    </row>
    <row r="3393" spans="14:15" x14ac:dyDescent="0.4">
      <c r="N3393" s="59"/>
      <c r="O3393" s="60"/>
    </row>
    <row r="3394" spans="14:15" x14ac:dyDescent="0.4">
      <c r="N3394" s="59"/>
      <c r="O3394" s="60"/>
    </row>
    <row r="3395" spans="14:15" x14ac:dyDescent="0.4">
      <c r="N3395" s="59"/>
      <c r="O3395" s="60"/>
    </row>
    <row r="3396" spans="14:15" x14ac:dyDescent="0.4">
      <c r="N3396" s="59"/>
      <c r="O3396" s="60"/>
    </row>
    <row r="3397" spans="14:15" x14ac:dyDescent="0.4">
      <c r="N3397" s="59"/>
      <c r="O3397" s="60"/>
    </row>
    <row r="3398" spans="14:15" x14ac:dyDescent="0.4">
      <c r="N3398" s="59"/>
      <c r="O3398" s="60"/>
    </row>
    <row r="3399" spans="14:15" x14ac:dyDescent="0.4">
      <c r="N3399" s="59"/>
      <c r="O3399" s="60"/>
    </row>
    <row r="3400" spans="14:15" x14ac:dyDescent="0.4">
      <c r="N3400" s="59"/>
      <c r="O3400" s="60"/>
    </row>
    <row r="3401" spans="14:15" x14ac:dyDescent="0.4">
      <c r="N3401" s="59"/>
      <c r="O3401" s="60"/>
    </row>
    <row r="3402" spans="14:15" x14ac:dyDescent="0.4">
      <c r="N3402" s="59"/>
      <c r="O3402" s="60"/>
    </row>
    <row r="3403" spans="14:15" x14ac:dyDescent="0.4">
      <c r="N3403" s="59"/>
      <c r="O3403" s="60"/>
    </row>
    <row r="3404" spans="14:15" x14ac:dyDescent="0.4">
      <c r="N3404" s="59"/>
      <c r="O3404" s="60"/>
    </row>
    <row r="3405" spans="14:15" x14ac:dyDescent="0.4">
      <c r="N3405" s="59"/>
      <c r="O3405" s="60"/>
    </row>
    <row r="3406" spans="14:15" x14ac:dyDescent="0.4">
      <c r="N3406" s="59"/>
      <c r="O3406" s="60"/>
    </row>
    <row r="3407" spans="14:15" x14ac:dyDescent="0.4">
      <c r="N3407" s="59"/>
      <c r="O3407" s="60"/>
    </row>
    <row r="3408" spans="14:15" x14ac:dyDescent="0.4">
      <c r="N3408" s="59"/>
      <c r="O3408" s="60"/>
    </row>
    <row r="3409" spans="14:15" x14ac:dyDescent="0.4">
      <c r="N3409" s="59"/>
      <c r="O3409" s="60"/>
    </row>
    <row r="3410" spans="14:15" x14ac:dyDescent="0.4">
      <c r="N3410" s="59"/>
      <c r="O3410" s="60"/>
    </row>
    <row r="3411" spans="14:15" x14ac:dyDescent="0.4">
      <c r="N3411" s="59"/>
      <c r="O3411" s="60"/>
    </row>
    <row r="3412" spans="14:15" x14ac:dyDescent="0.4">
      <c r="N3412" s="59"/>
      <c r="O3412" s="60"/>
    </row>
    <row r="3413" spans="14:15" x14ac:dyDescent="0.4">
      <c r="N3413" s="59"/>
      <c r="O3413" s="60"/>
    </row>
    <row r="3414" spans="14:15" x14ac:dyDescent="0.4">
      <c r="N3414" s="59"/>
      <c r="O3414" s="60"/>
    </row>
    <row r="3415" spans="14:15" x14ac:dyDescent="0.4">
      <c r="N3415" s="59"/>
      <c r="O3415" s="60"/>
    </row>
    <row r="3416" spans="14:15" x14ac:dyDescent="0.4">
      <c r="N3416" s="59"/>
      <c r="O3416" s="60"/>
    </row>
    <row r="3417" spans="14:15" x14ac:dyDescent="0.4">
      <c r="N3417" s="59"/>
      <c r="O3417" s="60"/>
    </row>
    <row r="3418" spans="14:15" x14ac:dyDescent="0.4">
      <c r="N3418" s="59"/>
      <c r="O3418" s="60"/>
    </row>
    <row r="3419" spans="14:15" x14ac:dyDescent="0.4">
      <c r="N3419" s="59"/>
      <c r="O3419" s="60"/>
    </row>
    <row r="3420" spans="14:15" x14ac:dyDescent="0.4">
      <c r="N3420" s="59"/>
      <c r="O3420" s="60"/>
    </row>
    <row r="3421" spans="14:15" x14ac:dyDescent="0.4">
      <c r="N3421" s="59"/>
      <c r="O3421" s="60"/>
    </row>
    <row r="3422" spans="14:15" x14ac:dyDescent="0.4">
      <c r="N3422" s="59"/>
      <c r="O3422" s="60"/>
    </row>
    <row r="3423" spans="14:15" x14ac:dyDescent="0.4">
      <c r="N3423" s="59"/>
      <c r="O3423" s="60"/>
    </row>
    <row r="3424" spans="14:15" x14ac:dyDescent="0.4">
      <c r="N3424" s="59"/>
      <c r="O3424" s="60"/>
    </row>
    <row r="3425" spans="14:15" x14ac:dyDescent="0.4">
      <c r="N3425" s="59"/>
      <c r="O3425" s="60"/>
    </row>
    <row r="3426" spans="14:15" x14ac:dyDescent="0.4">
      <c r="N3426" s="59"/>
      <c r="O3426" s="60"/>
    </row>
    <row r="3427" spans="14:15" x14ac:dyDescent="0.4">
      <c r="N3427" s="59"/>
      <c r="O3427" s="60"/>
    </row>
    <row r="3428" spans="14:15" x14ac:dyDescent="0.4">
      <c r="N3428" s="59"/>
      <c r="O3428" s="60"/>
    </row>
    <row r="3429" spans="14:15" x14ac:dyDescent="0.4">
      <c r="N3429" s="59"/>
      <c r="O3429" s="60"/>
    </row>
    <row r="3430" spans="14:15" x14ac:dyDescent="0.4">
      <c r="N3430" s="59"/>
      <c r="O3430" s="60"/>
    </row>
    <row r="3431" spans="14:15" x14ac:dyDescent="0.4">
      <c r="N3431" s="59"/>
      <c r="O3431" s="60"/>
    </row>
    <row r="3432" spans="14:15" x14ac:dyDescent="0.4">
      <c r="N3432" s="59"/>
      <c r="O3432" s="60"/>
    </row>
    <row r="3433" spans="14:15" x14ac:dyDescent="0.4">
      <c r="N3433" s="59"/>
      <c r="O3433" s="60"/>
    </row>
    <row r="3434" spans="14:15" x14ac:dyDescent="0.4">
      <c r="N3434" s="59"/>
      <c r="O3434" s="60"/>
    </row>
    <row r="3435" spans="14:15" x14ac:dyDescent="0.4">
      <c r="N3435" s="59"/>
      <c r="O3435" s="60"/>
    </row>
    <row r="3436" spans="14:15" x14ac:dyDescent="0.4">
      <c r="N3436" s="59"/>
      <c r="O3436" s="60"/>
    </row>
    <row r="3437" spans="14:15" x14ac:dyDescent="0.4">
      <c r="N3437" s="59"/>
      <c r="O3437" s="60"/>
    </row>
    <row r="3438" spans="14:15" x14ac:dyDescent="0.4">
      <c r="N3438" s="59"/>
      <c r="O3438" s="60"/>
    </row>
    <row r="3439" spans="14:15" x14ac:dyDescent="0.4">
      <c r="N3439" s="59"/>
      <c r="O3439" s="60"/>
    </row>
  </sheetData>
  <sheetProtection sheet="1" objects="1" scenarios="1" sort="0" autoFilter="0"/>
  <autoFilter ref="A1:O1" xr:uid="{512FB269-289C-45D8-A500-20E1FCA6BA46}"/>
  <sortState ref="A2:O3440">
    <sortCondition ref="A1"/>
  </sortState>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90717-CEEC-487F-8C9C-98539FCEB3B1}">
  <sheetPr codeName="MatchMe"/>
  <dimension ref="A1:L6582"/>
  <sheetViews>
    <sheetView workbookViewId="0">
      <pane ySplit="1" topLeftCell="A5" activePane="bottomLeft" state="frozen"/>
      <selection pane="bottomLeft"/>
    </sheetView>
  </sheetViews>
  <sheetFormatPr defaultColWidth="9.69140625" defaultRowHeight="14.6" x14ac:dyDescent="0.4"/>
  <cols>
    <col min="1" max="1" width="7.921875" style="53" bestFit="1" customWidth="1"/>
    <col min="2" max="4" width="10.84375" style="53" bestFit="1" customWidth="1"/>
    <col min="5" max="5" width="10.84375" style="53" customWidth="1"/>
    <col min="6" max="6" width="10.84375" style="53" bestFit="1" customWidth="1"/>
    <col min="7" max="7" width="12.15234375" style="53" bestFit="1" customWidth="1"/>
    <col min="8" max="8" width="7.53515625" style="53" bestFit="1" customWidth="1"/>
    <col min="9" max="12" width="10.84375" style="53" bestFit="1" customWidth="1"/>
    <col min="13" max="16384" width="9.69140625" style="9"/>
  </cols>
  <sheetData>
    <row r="1" spans="1:12" x14ac:dyDescent="0.4">
      <c r="A1" s="53" t="s">
        <v>15</v>
      </c>
      <c r="B1" s="53" t="s">
        <v>10</v>
      </c>
      <c r="C1" s="53" t="s">
        <v>11</v>
      </c>
      <c r="D1" s="53" t="s">
        <v>12</v>
      </c>
      <c r="E1" s="53" t="s">
        <v>13</v>
      </c>
      <c r="F1" s="53" t="s">
        <v>62</v>
      </c>
      <c r="G1" s="53" t="s">
        <v>42</v>
      </c>
      <c r="H1" s="53" t="s">
        <v>28</v>
      </c>
      <c r="I1" s="53" t="s">
        <v>10</v>
      </c>
      <c r="J1" s="53" t="s">
        <v>11</v>
      </c>
      <c r="K1" s="53" t="s">
        <v>12</v>
      </c>
      <c r="L1" s="53" t="s">
        <v>13</v>
      </c>
    </row>
    <row r="2" spans="1:12" x14ac:dyDescent="0.4">
      <c r="H2" s="1"/>
    </row>
    <row r="3" spans="1:12" x14ac:dyDescent="0.4">
      <c r="H3" s="1"/>
    </row>
    <row r="4" spans="1:12" x14ac:dyDescent="0.4">
      <c r="G4" s="41"/>
      <c r="H4" s="1"/>
    </row>
    <row r="5" spans="1:12" x14ac:dyDescent="0.4">
      <c r="G5" s="54"/>
      <c r="H5" s="1"/>
    </row>
    <row r="6" spans="1:12" x14ac:dyDescent="0.4">
      <c r="G6" s="41"/>
      <c r="H6" s="1"/>
    </row>
    <row r="7" spans="1:12" x14ac:dyDescent="0.4">
      <c r="H7" s="1"/>
    </row>
    <row r="8" spans="1:12" x14ac:dyDescent="0.4">
      <c r="H8" s="1"/>
    </row>
    <row r="9" spans="1:12" x14ac:dyDescent="0.4">
      <c r="H9" s="1"/>
    </row>
    <row r="10" spans="1:12" x14ac:dyDescent="0.4">
      <c r="H10" s="1"/>
    </row>
    <row r="11" spans="1:12" x14ac:dyDescent="0.4">
      <c r="H11" s="1"/>
    </row>
    <row r="12" spans="1:12" x14ac:dyDescent="0.4">
      <c r="H12" s="1"/>
    </row>
    <row r="13" spans="1:12" x14ac:dyDescent="0.4">
      <c r="H13" s="1"/>
    </row>
    <row r="14" spans="1:12" x14ac:dyDescent="0.4">
      <c r="H14" s="1"/>
    </row>
    <row r="15" spans="1:12" x14ac:dyDescent="0.4">
      <c r="H15" s="1"/>
    </row>
    <row r="16" spans="1:12" x14ac:dyDescent="0.4">
      <c r="H16" s="1"/>
    </row>
    <row r="17" spans="8:8" x14ac:dyDescent="0.4">
      <c r="H17" s="1"/>
    </row>
    <row r="18" spans="8:8" x14ac:dyDescent="0.4">
      <c r="H18" s="1"/>
    </row>
    <row r="19" spans="8:8" x14ac:dyDescent="0.4">
      <c r="H19" s="1"/>
    </row>
    <row r="20" spans="8:8" x14ac:dyDescent="0.4">
      <c r="H20" s="1"/>
    </row>
    <row r="21" spans="8:8" x14ac:dyDescent="0.4">
      <c r="H21" s="1"/>
    </row>
    <row r="22" spans="8:8" x14ac:dyDescent="0.4">
      <c r="H22" s="1"/>
    </row>
    <row r="23" spans="8:8" x14ac:dyDescent="0.4">
      <c r="H23" s="1"/>
    </row>
    <row r="24" spans="8:8" x14ac:dyDescent="0.4">
      <c r="H24" s="1"/>
    </row>
    <row r="25" spans="8:8" x14ac:dyDescent="0.4">
      <c r="H25" s="1"/>
    </row>
    <row r="26" spans="8:8" x14ac:dyDescent="0.4">
      <c r="H26" s="1"/>
    </row>
    <row r="27" spans="8:8" x14ac:dyDescent="0.4">
      <c r="H27" s="1"/>
    </row>
    <row r="28" spans="8:8" x14ac:dyDescent="0.4">
      <c r="H28" s="1"/>
    </row>
    <row r="29" spans="8:8" x14ac:dyDescent="0.4">
      <c r="H29" s="1"/>
    </row>
    <row r="30" spans="8:8" x14ac:dyDescent="0.4">
      <c r="H30" s="1"/>
    </row>
    <row r="31" spans="8:8" x14ac:dyDescent="0.4">
      <c r="H31" s="1"/>
    </row>
    <row r="32" spans="8:8" x14ac:dyDescent="0.4">
      <c r="H32" s="1"/>
    </row>
    <row r="33" spans="8:8" x14ac:dyDescent="0.4">
      <c r="H33" s="1"/>
    </row>
    <row r="34" spans="8:8" x14ac:dyDescent="0.4">
      <c r="H34" s="1"/>
    </row>
    <row r="35" spans="8:8" x14ac:dyDescent="0.4">
      <c r="H35" s="1"/>
    </row>
    <row r="36" spans="8:8" x14ac:dyDescent="0.4">
      <c r="H36" s="1"/>
    </row>
    <row r="37" spans="8:8" x14ac:dyDescent="0.4">
      <c r="H37" s="1"/>
    </row>
    <row r="38" spans="8:8" x14ac:dyDescent="0.4">
      <c r="H38" s="1"/>
    </row>
    <row r="39" spans="8:8" x14ac:dyDescent="0.4">
      <c r="H39" s="1"/>
    </row>
    <row r="40" spans="8:8" x14ac:dyDescent="0.4">
      <c r="H40" s="1"/>
    </row>
    <row r="41" spans="8:8" x14ac:dyDescent="0.4">
      <c r="H41" s="1"/>
    </row>
    <row r="42" spans="8:8" x14ac:dyDescent="0.4">
      <c r="H42" s="1"/>
    </row>
    <row r="43" spans="8:8" x14ac:dyDescent="0.4">
      <c r="H43" s="1"/>
    </row>
    <row r="44" spans="8:8" x14ac:dyDescent="0.4">
      <c r="H44" s="1"/>
    </row>
    <row r="45" spans="8:8" x14ac:dyDescent="0.4">
      <c r="H45" s="1"/>
    </row>
    <row r="46" spans="8:8" x14ac:dyDescent="0.4">
      <c r="H46" s="1"/>
    </row>
    <row r="47" spans="8:8" x14ac:dyDescent="0.4">
      <c r="H47" s="1"/>
    </row>
    <row r="48" spans="8:8" x14ac:dyDescent="0.4">
      <c r="H48" s="1"/>
    </row>
    <row r="49" spans="8:8" x14ac:dyDescent="0.4">
      <c r="H49" s="1"/>
    </row>
    <row r="50" spans="8:8" x14ac:dyDescent="0.4">
      <c r="H50" s="1"/>
    </row>
    <row r="51" spans="8:8" x14ac:dyDescent="0.4">
      <c r="H51" s="1"/>
    </row>
    <row r="52" spans="8:8" x14ac:dyDescent="0.4">
      <c r="H52" s="1"/>
    </row>
    <row r="53" spans="8:8" x14ac:dyDescent="0.4">
      <c r="H53" s="1"/>
    </row>
    <row r="54" spans="8:8" x14ac:dyDescent="0.4">
      <c r="H54" s="1"/>
    </row>
    <row r="55" spans="8:8" x14ac:dyDescent="0.4">
      <c r="H55" s="1"/>
    </row>
    <row r="56" spans="8:8" x14ac:dyDescent="0.4">
      <c r="H56" s="1"/>
    </row>
    <row r="57" spans="8:8" x14ac:dyDescent="0.4">
      <c r="H57" s="1"/>
    </row>
    <row r="58" spans="8:8" x14ac:dyDescent="0.4">
      <c r="H58" s="1"/>
    </row>
    <row r="59" spans="8:8" x14ac:dyDescent="0.4">
      <c r="H59" s="1"/>
    </row>
    <row r="60" spans="8:8" x14ac:dyDescent="0.4">
      <c r="H60" s="1"/>
    </row>
    <row r="61" spans="8:8" x14ac:dyDescent="0.4">
      <c r="H61" s="1"/>
    </row>
    <row r="62" spans="8:8" x14ac:dyDescent="0.4">
      <c r="H62" s="1"/>
    </row>
    <row r="63" spans="8:8" x14ac:dyDescent="0.4">
      <c r="H63" s="1"/>
    </row>
    <row r="64" spans="8:8" x14ac:dyDescent="0.4">
      <c r="H64" s="1"/>
    </row>
    <row r="65" spans="8:8" x14ac:dyDescent="0.4">
      <c r="H65" s="1"/>
    </row>
    <row r="66" spans="8:8" x14ac:dyDescent="0.4">
      <c r="H66" s="1"/>
    </row>
    <row r="67" spans="8:8" x14ac:dyDescent="0.4">
      <c r="H67" s="1"/>
    </row>
    <row r="68" spans="8:8" x14ac:dyDescent="0.4">
      <c r="H68" s="1"/>
    </row>
    <row r="69" spans="8:8" x14ac:dyDescent="0.4">
      <c r="H69" s="1"/>
    </row>
    <row r="70" spans="8:8" x14ac:dyDescent="0.4">
      <c r="H70" s="1"/>
    </row>
    <row r="71" spans="8:8" x14ac:dyDescent="0.4">
      <c r="H71" s="1"/>
    </row>
    <row r="72" spans="8:8" x14ac:dyDescent="0.4">
      <c r="H72" s="1"/>
    </row>
    <row r="73" spans="8:8" x14ac:dyDescent="0.4">
      <c r="H73" s="1"/>
    </row>
    <row r="74" spans="8:8" x14ac:dyDescent="0.4">
      <c r="H74" s="1"/>
    </row>
    <row r="75" spans="8:8" x14ac:dyDescent="0.4">
      <c r="H75" s="1"/>
    </row>
    <row r="76" spans="8:8" x14ac:dyDescent="0.4">
      <c r="H76" s="1"/>
    </row>
    <row r="77" spans="8:8" x14ac:dyDescent="0.4">
      <c r="H77" s="1"/>
    </row>
    <row r="78" spans="8:8" x14ac:dyDescent="0.4">
      <c r="H78" s="1"/>
    </row>
    <row r="79" spans="8:8" x14ac:dyDescent="0.4">
      <c r="H79" s="1"/>
    </row>
    <row r="80" spans="8:8" x14ac:dyDescent="0.4">
      <c r="H80" s="1"/>
    </row>
    <row r="81" spans="8:8" x14ac:dyDescent="0.4">
      <c r="H81" s="1"/>
    </row>
    <row r="82" spans="8:8" x14ac:dyDescent="0.4">
      <c r="H82" s="1"/>
    </row>
    <row r="83" spans="8:8" x14ac:dyDescent="0.4">
      <c r="H83" s="1"/>
    </row>
    <row r="84" spans="8:8" x14ac:dyDescent="0.4">
      <c r="H84" s="1"/>
    </row>
    <row r="85" spans="8:8" x14ac:dyDescent="0.4">
      <c r="H85" s="1"/>
    </row>
    <row r="86" spans="8:8" x14ac:dyDescent="0.4">
      <c r="H86" s="1"/>
    </row>
    <row r="87" spans="8:8" x14ac:dyDescent="0.4">
      <c r="H87" s="1"/>
    </row>
    <row r="88" spans="8:8" x14ac:dyDescent="0.4">
      <c r="H88" s="1"/>
    </row>
    <row r="89" spans="8:8" x14ac:dyDescent="0.4">
      <c r="H89" s="1"/>
    </row>
    <row r="90" spans="8:8" x14ac:dyDescent="0.4">
      <c r="H90" s="1"/>
    </row>
    <row r="91" spans="8:8" x14ac:dyDescent="0.4">
      <c r="H91" s="1"/>
    </row>
    <row r="92" spans="8:8" x14ac:dyDescent="0.4">
      <c r="H92" s="1"/>
    </row>
    <row r="93" spans="8:8" x14ac:dyDescent="0.4">
      <c r="H93" s="1"/>
    </row>
    <row r="94" spans="8:8" x14ac:dyDescent="0.4">
      <c r="H94" s="1"/>
    </row>
    <row r="95" spans="8:8" x14ac:dyDescent="0.4">
      <c r="H95" s="1"/>
    </row>
    <row r="96" spans="8:8" x14ac:dyDescent="0.4">
      <c r="H96" s="1"/>
    </row>
    <row r="97" spans="8:8" x14ac:dyDescent="0.4">
      <c r="H97" s="1"/>
    </row>
    <row r="98" spans="8:8" x14ac:dyDescent="0.4">
      <c r="H98" s="1"/>
    </row>
    <row r="99" spans="8:8" x14ac:dyDescent="0.4">
      <c r="H99" s="1"/>
    </row>
    <row r="100" spans="8:8" x14ac:dyDescent="0.4">
      <c r="H100" s="1"/>
    </row>
    <row r="101" spans="8:8" x14ac:dyDescent="0.4">
      <c r="H101" s="1"/>
    </row>
    <row r="102" spans="8:8" x14ac:dyDescent="0.4">
      <c r="H102" s="1"/>
    </row>
    <row r="103" spans="8:8" x14ac:dyDescent="0.4">
      <c r="H103" s="1"/>
    </row>
    <row r="104" spans="8:8" x14ac:dyDescent="0.4">
      <c r="H104" s="1"/>
    </row>
    <row r="105" spans="8:8" x14ac:dyDescent="0.4">
      <c r="H105" s="1"/>
    </row>
    <row r="106" spans="8:8" x14ac:dyDescent="0.4">
      <c r="H106" s="1"/>
    </row>
    <row r="107" spans="8:8" x14ac:dyDescent="0.4">
      <c r="H107" s="1"/>
    </row>
    <row r="108" spans="8:8" x14ac:dyDescent="0.4">
      <c r="H108" s="1"/>
    </row>
    <row r="109" spans="8:8" x14ac:dyDescent="0.4">
      <c r="H109" s="1"/>
    </row>
    <row r="110" spans="8:8" x14ac:dyDescent="0.4">
      <c r="H110" s="1"/>
    </row>
    <row r="111" spans="8:8" x14ac:dyDescent="0.4">
      <c r="H111" s="1"/>
    </row>
    <row r="112" spans="8:8" x14ac:dyDescent="0.4">
      <c r="H112" s="1"/>
    </row>
    <row r="113" spans="8:8" x14ac:dyDescent="0.4">
      <c r="H113" s="1"/>
    </row>
    <row r="114" spans="8:8" x14ac:dyDescent="0.4">
      <c r="H114" s="1"/>
    </row>
    <row r="115" spans="8:8" x14ac:dyDescent="0.4">
      <c r="H115" s="1"/>
    </row>
    <row r="116" spans="8:8" x14ac:dyDescent="0.4">
      <c r="H116" s="1"/>
    </row>
    <row r="117" spans="8:8" x14ac:dyDescent="0.4">
      <c r="H117" s="1"/>
    </row>
    <row r="118" spans="8:8" x14ac:dyDescent="0.4">
      <c r="H118" s="1"/>
    </row>
    <row r="119" spans="8:8" x14ac:dyDescent="0.4">
      <c r="H119" s="1"/>
    </row>
    <row r="120" spans="8:8" x14ac:dyDescent="0.4">
      <c r="H120" s="1"/>
    </row>
    <row r="121" spans="8:8" x14ac:dyDescent="0.4">
      <c r="H121" s="1"/>
    </row>
    <row r="122" spans="8:8" x14ac:dyDescent="0.4">
      <c r="H122" s="1"/>
    </row>
    <row r="123" spans="8:8" x14ac:dyDescent="0.4">
      <c r="H123" s="1"/>
    </row>
    <row r="124" spans="8:8" x14ac:dyDescent="0.4">
      <c r="H124" s="1"/>
    </row>
    <row r="125" spans="8:8" x14ac:dyDescent="0.4">
      <c r="H125" s="1"/>
    </row>
    <row r="126" spans="8:8" x14ac:dyDescent="0.4">
      <c r="H126" s="1"/>
    </row>
    <row r="127" spans="8:8" x14ac:dyDescent="0.4">
      <c r="H127" s="1"/>
    </row>
    <row r="128" spans="8:8" x14ac:dyDescent="0.4">
      <c r="H128" s="1"/>
    </row>
    <row r="129" spans="8:8" x14ac:dyDescent="0.4">
      <c r="H129" s="1"/>
    </row>
    <row r="130" spans="8:8" x14ac:dyDescent="0.4">
      <c r="H130" s="1"/>
    </row>
    <row r="131" spans="8:8" x14ac:dyDescent="0.4">
      <c r="H131" s="1"/>
    </row>
    <row r="132" spans="8:8" x14ac:dyDescent="0.4">
      <c r="H132" s="1"/>
    </row>
    <row r="133" spans="8:8" x14ac:dyDescent="0.4">
      <c r="H133" s="1"/>
    </row>
    <row r="134" spans="8:8" x14ac:dyDescent="0.4">
      <c r="H134" s="1"/>
    </row>
    <row r="135" spans="8:8" x14ac:dyDescent="0.4">
      <c r="H135" s="1"/>
    </row>
    <row r="136" spans="8:8" x14ac:dyDescent="0.4">
      <c r="H136" s="1"/>
    </row>
    <row r="137" spans="8:8" x14ac:dyDescent="0.4">
      <c r="H137" s="1"/>
    </row>
    <row r="138" spans="8:8" x14ac:dyDescent="0.4">
      <c r="H138" s="1"/>
    </row>
    <row r="139" spans="8:8" x14ac:dyDescent="0.4">
      <c r="H139" s="1"/>
    </row>
    <row r="140" spans="8:8" x14ac:dyDescent="0.4">
      <c r="H140" s="1"/>
    </row>
    <row r="141" spans="8:8" x14ac:dyDescent="0.4">
      <c r="H141" s="1"/>
    </row>
    <row r="142" spans="8:8" x14ac:dyDescent="0.4">
      <c r="H142" s="1"/>
    </row>
    <row r="143" spans="8:8" x14ac:dyDescent="0.4">
      <c r="H143" s="1"/>
    </row>
    <row r="144" spans="8:8" x14ac:dyDescent="0.4">
      <c r="H144" s="1"/>
    </row>
    <row r="145" spans="8:8" x14ac:dyDescent="0.4">
      <c r="H145" s="1"/>
    </row>
    <row r="146" spans="8:8" x14ac:dyDescent="0.4">
      <c r="H146" s="1"/>
    </row>
    <row r="147" spans="8:8" x14ac:dyDescent="0.4">
      <c r="H147" s="1"/>
    </row>
    <row r="148" spans="8:8" x14ac:dyDescent="0.4">
      <c r="H148" s="1"/>
    </row>
    <row r="149" spans="8:8" x14ac:dyDescent="0.4">
      <c r="H149" s="1"/>
    </row>
    <row r="150" spans="8:8" x14ac:dyDescent="0.4">
      <c r="H150" s="1"/>
    </row>
    <row r="151" spans="8:8" x14ac:dyDescent="0.4">
      <c r="H151" s="1"/>
    </row>
    <row r="152" spans="8:8" x14ac:dyDescent="0.4">
      <c r="H152" s="1"/>
    </row>
    <row r="153" spans="8:8" x14ac:dyDescent="0.4">
      <c r="H153" s="1"/>
    </row>
    <row r="154" spans="8:8" x14ac:dyDescent="0.4">
      <c r="H154" s="1"/>
    </row>
    <row r="155" spans="8:8" x14ac:dyDescent="0.4">
      <c r="H155" s="1"/>
    </row>
    <row r="156" spans="8:8" x14ac:dyDescent="0.4">
      <c r="H156" s="1"/>
    </row>
    <row r="157" spans="8:8" x14ac:dyDescent="0.4">
      <c r="H157" s="1"/>
    </row>
    <row r="158" spans="8:8" x14ac:dyDescent="0.4">
      <c r="H158" s="1"/>
    </row>
    <row r="159" spans="8:8" x14ac:dyDescent="0.4">
      <c r="H159" s="1"/>
    </row>
    <row r="160" spans="8:8" x14ac:dyDescent="0.4">
      <c r="H160" s="1"/>
    </row>
    <row r="161" spans="8:8" x14ac:dyDescent="0.4">
      <c r="H161" s="1"/>
    </row>
    <row r="162" spans="8:8" x14ac:dyDescent="0.4">
      <c r="H162" s="1"/>
    </row>
    <row r="163" spans="8:8" x14ac:dyDescent="0.4">
      <c r="H163" s="1"/>
    </row>
    <row r="164" spans="8:8" x14ac:dyDescent="0.4">
      <c r="H164" s="1"/>
    </row>
    <row r="165" spans="8:8" x14ac:dyDescent="0.4">
      <c r="H165" s="1"/>
    </row>
    <row r="166" spans="8:8" x14ac:dyDescent="0.4">
      <c r="H166" s="1"/>
    </row>
    <row r="167" spans="8:8" x14ac:dyDescent="0.4">
      <c r="H167" s="1"/>
    </row>
    <row r="168" spans="8:8" x14ac:dyDescent="0.4">
      <c r="H168" s="1"/>
    </row>
    <row r="169" spans="8:8" x14ac:dyDescent="0.4">
      <c r="H169" s="1"/>
    </row>
    <row r="170" spans="8:8" x14ac:dyDescent="0.4">
      <c r="H170" s="1"/>
    </row>
    <row r="171" spans="8:8" x14ac:dyDescent="0.4">
      <c r="H171" s="1"/>
    </row>
    <row r="172" spans="8:8" x14ac:dyDescent="0.4">
      <c r="H172" s="1"/>
    </row>
    <row r="173" spans="8:8" x14ac:dyDescent="0.4">
      <c r="H173" s="1"/>
    </row>
    <row r="174" spans="8:8" x14ac:dyDescent="0.4">
      <c r="H174" s="1"/>
    </row>
    <row r="175" spans="8:8" x14ac:dyDescent="0.4">
      <c r="H175" s="1"/>
    </row>
    <row r="176" spans="8:8" x14ac:dyDescent="0.4">
      <c r="H176" s="1"/>
    </row>
    <row r="177" spans="8:8" x14ac:dyDescent="0.4">
      <c r="H177" s="1"/>
    </row>
    <row r="178" spans="8:8" x14ac:dyDescent="0.4">
      <c r="H178" s="1"/>
    </row>
    <row r="179" spans="8:8" x14ac:dyDescent="0.4">
      <c r="H179" s="1"/>
    </row>
    <row r="180" spans="8:8" x14ac:dyDescent="0.4">
      <c r="H180" s="1"/>
    </row>
    <row r="181" spans="8:8" x14ac:dyDescent="0.4">
      <c r="H181" s="1"/>
    </row>
    <row r="182" spans="8:8" x14ac:dyDescent="0.4">
      <c r="H182" s="1"/>
    </row>
    <row r="183" spans="8:8" x14ac:dyDescent="0.4">
      <c r="H183" s="1"/>
    </row>
    <row r="184" spans="8:8" x14ac:dyDescent="0.4">
      <c r="H184" s="1"/>
    </row>
    <row r="185" spans="8:8" x14ac:dyDescent="0.4">
      <c r="H185" s="1"/>
    </row>
    <row r="186" spans="8:8" x14ac:dyDescent="0.4">
      <c r="H186" s="1"/>
    </row>
    <row r="187" spans="8:8" x14ac:dyDescent="0.4">
      <c r="H187" s="1"/>
    </row>
    <row r="188" spans="8:8" x14ac:dyDescent="0.4">
      <c r="H188" s="1"/>
    </row>
    <row r="189" spans="8:8" x14ac:dyDescent="0.4">
      <c r="H189" s="1"/>
    </row>
    <row r="190" spans="8:8" x14ac:dyDescent="0.4">
      <c r="H190" s="1"/>
    </row>
    <row r="191" spans="8:8" x14ac:dyDescent="0.4">
      <c r="H191" s="1"/>
    </row>
    <row r="192" spans="8:8" x14ac:dyDescent="0.4">
      <c r="H192" s="1"/>
    </row>
    <row r="193" spans="8:8" x14ac:dyDescent="0.4">
      <c r="H193" s="1"/>
    </row>
    <row r="194" spans="8:8" x14ac:dyDescent="0.4">
      <c r="H194" s="1"/>
    </row>
    <row r="195" spans="8:8" x14ac:dyDescent="0.4">
      <c r="H195" s="1"/>
    </row>
    <row r="196" spans="8:8" x14ac:dyDescent="0.4">
      <c r="H196" s="1"/>
    </row>
    <row r="197" spans="8:8" x14ac:dyDescent="0.4">
      <c r="H197" s="1"/>
    </row>
    <row r="198" spans="8:8" x14ac:dyDescent="0.4">
      <c r="H198" s="1"/>
    </row>
    <row r="199" spans="8:8" x14ac:dyDescent="0.4">
      <c r="H199" s="1"/>
    </row>
    <row r="200" spans="8:8" x14ac:dyDescent="0.4">
      <c r="H200" s="1"/>
    </row>
    <row r="201" spans="8:8" x14ac:dyDescent="0.4">
      <c r="H201" s="1"/>
    </row>
    <row r="202" spans="8:8" x14ac:dyDescent="0.4">
      <c r="H202" s="1"/>
    </row>
    <row r="203" spans="8:8" x14ac:dyDescent="0.4">
      <c r="H203" s="1"/>
    </row>
    <row r="204" spans="8:8" x14ac:dyDescent="0.4">
      <c r="H204" s="1"/>
    </row>
    <row r="205" spans="8:8" x14ac:dyDescent="0.4">
      <c r="H205" s="1"/>
    </row>
    <row r="206" spans="8:8" x14ac:dyDescent="0.4">
      <c r="H206" s="1"/>
    </row>
    <row r="207" spans="8:8" x14ac:dyDescent="0.4">
      <c r="H207" s="1"/>
    </row>
    <row r="208" spans="8:8" x14ac:dyDescent="0.4">
      <c r="H208" s="1"/>
    </row>
    <row r="209" spans="8:8" x14ac:dyDescent="0.4">
      <c r="H209" s="1"/>
    </row>
    <row r="210" spans="8:8" x14ac:dyDescent="0.4">
      <c r="H210" s="1"/>
    </row>
    <row r="211" spans="8:8" x14ac:dyDescent="0.4">
      <c r="H211" s="1"/>
    </row>
    <row r="212" spans="8:8" x14ac:dyDescent="0.4">
      <c r="H212" s="1"/>
    </row>
    <row r="213" spans="8:8" x14ac:dyDescent="0.4">
      <c r="H213" s="1"/>
    </row>
    <row r="214" spans="8:8" x14ac:dyDescent="0.4">
      <c r="H214" s="1"/>
    </row>
    <row r="215" spans="8:8" x14ac:dyDescent="0.4">
      <c r="H215" s="1"/>
    </row>
    <row r="216" spans="8:8" x14ac:dyDescent="0.4">
      <c r="H216" s="1"/>
    </row>
    <row r="217" spans="8:8" x14ac:dyDescent="0.4">
      <c r="H217" s="1"/>
    </row>
    <row r="218" spans="8:8" x14ac:dyDescent="0.4">
      <c r="H218" s="1"/>
    </row>
    <row r="219" spans="8:8" x14ac:dyDescent="0.4">
      <c r="H219" s="1"/>
    </row>
    <row r="220" spans="8:8" x14ac:dyDescent="0.4">
      <c r="H220" s="1"/>
    </row>
    <row r="221" spans="8:8" x14ac:dyDescent="0.4">
      <c r="H221" s="1"/>
    </row>
    <row r="222" spans="8:8" x14ac:dyDescent="0.4">
      <c r="H222" s="1"/>
    </row>
    <row r="223" spans="8:8" x14ac:dyDescent="0.4">
      <c r="H223" s="1"/>
    </row>
    <row r="224" spans="8:8" x14ac:dyDescent="0.4">
      <c r="H224" s="1"/>
    </row>
    <row r="225" spans="8:8" x14ac:dyDescent="0.4">
      <c r="H225" s="1"/>
    </row>
    <row r="226" spans="8:8" x14ac:dyDescent="0.4">
      <c r="H226" s="1"/>
    </row>
    <row r="227" spans="8:8" x14ac:dyDescent="0.4">
      <c r="H227" s="1"/>
    </row>
    <row r="228" spans="8:8" x14ac:dyDescent="0.4">
      <c r="H228" s="1"/>
    </row>
    <row r="229" spans="8:8" x14ac:dyDescent="0.4">
      <c r="H229" s="1"/>
    </row>
    <row r="230" spans="8:8" x14ac:dyDescent="0.4">
      <c r="H230" s="1"/>
    </row>
    <row r="231" spans="8:8" x14ac:dyDescent="0.4">
      <c r="H231" s="1"/>
    </row>
    <row r="232" spans="8:8" x14ac:dyDescent="0.4">
      <c r="H232" s="1"/>
    </row>
    <row r="233" spans="8:8" x14ac:dyDescent="0.4">
      <c r="H233" s="1"/>
    </row>
    <row r="234" spans="8:8" x14ac:dyDescent="0.4">
      <c r="H234" s="1"/>
    </row>
    <row r="235" spans="8:8" x14ac:dyDescent="0.4">
      <c r="H235" s="1"/>
    </row>
    <row r="236" spans="8:8" x14ac:dyDescent="0.4">
      <c r="H236" s="1"/>
    </row>
    <row r="237" spans="8:8" x14ac:dyDescent="0.4">
      <c r="H237" s="1"/>
    </row>
    <row r="238" spans="8:8" x14ac:dyDescent="0.4">
      <c r="H238" s="1"/>
    </row>
    <row r="239" spans="8:8" x14ac:dyDescent="0.4">
      <c r="H239" s="1"/>
    </row>
    <row r="240" spans="8:8" x14ac:dyDescent="0.4">
      <c r="H240" s="1"/>
    </row>
    <row r="241" spans="8:8" x14ac:dyDescent="0.4">
      <c r="H241" s="1"/>
    </row>
    <row r="242" spans="8:8" x14ac:dyDescent="0.4">
      <c r="H242" s="1"/>
    </row>
    <row r="243" spans="8:8" x14ac:dyDescent="0.4">
      <c r="H243" s="1"/>
    </row>
    <row r="244" spans="8:8" x14ac:dyDescent="0.4">
      <c r="H244" s="1"/>
    </row>
    <row r="245" spans="8:8" x14ac:dyDescent="0.4">
      <c r="H245" s="1"/>
    </row>
    <row r="246" spans="8:8" x14ac:dyDescent="0.4">
      <c r="H246" s="1"/>
    </row>
    <row r="247" spans="8:8" x14ac:dyDescent="0.4">
      <c r="H247" s="1"/>
    </row>
    <row r="248" spans="8:8" x14ac:dyDescent="0.4">
      <c r="H248" s="1"/>
    </row>
    <row r="249" spans="8:8" x14ac:dyDescent="0.4">
      <c r="H249" s="1"/>
    </row>
    <row r="250" spans="8:8" x14ac:dyDescent="0.4">
      <c r="H250" s="1"/>
    </row>
    <row r="251" spans="8:8" x14ac:dyDescent="0.4">
      <c r="H251" s="1"/>
    </row>
    <row r="252" spans="8:8" x14ac:dyDescent="0.4">
      <c r="H252" s="1"/>
    </row>
    <row r="253" spans="8:8" x14ac:dyDescent="0.4">
      <c r="H253" s="1"/>
    </row>
    <row r="254" spans="8:8" x14ac:dyDescent="0.4">
      <c r="H254" s="1"/>
    </row>
    <row r="255" spans="8:8" x14ac:dyDescent="0.4">
      <c r="H255" s="1"/>
    </row>
    <row r="256" spans="8:8" x14ac:dyDescent="0.4">
      <c r="H256" s="1"/>
    </row>
    <row r="257" spans="8:8" x14ac:dyDescent="0.4">
      <c r="H257" s="1"/>
    </row>
    <row r="258" spans="8:8" x14ac:dyDescent="0.4">
      <c r="H258" s="1"/>
    </row>
    <row r="259" spans="8:8" x14ac:dyDescent="0.4">
      <c r="H259" s="1"/>
    </row>
    <row r="260" spans="8:8" x14ac:dyDescent="0.4">
      <c r="H260" s="1"/>
    </row>
    <row r="261" spans="8:8" x14ac:dyDescent="0.4">
      <c r="H261" s="1"/>
    </row>
    <row r="262" spans="8:8" x14ac:dyDescent="0.4">
      <c r="H262" s="1"/>
    </row>
    <row r="263" spans="8:8" x14ac:dyDescent="0.4">
      <c r="H263" s="1"/>
    </row>
    <row r="264" spans="8:8" x14ac:dyDescent="0.4">
      <c r="H264" s="1"/>
    </row>
    <row r="265" spans="8:8" x14ac:dyDescent="0.4">
      <c r="H265" s="1"/>
    </row>
    <row r="266" spans="8:8" x14ac:dyDescent="0.4">
      <c r="H266" s="1"/>
    </row>
    <row r="267" spans="8:8" x14ac:dyDescent="0.4">
      <c r="H267" s="1"/>
    </row>
    <row r="268" spans="8:8" x14ac:dyDescent="0.4">
      <c r="H268" s="1"/>
    </row>
    <row r="269" spans="8:8" x14ac:dyDescent="0.4">
      <c r="H269" s="1"/>
    </row>
    <row r="270" spans="8:8" x14ac:dyDescent="0.4">
      <c r="H270" s="1"/>
    </row>
    <row r="271" spans="8:8" x14ac:dyDescent="0.4">
      <c r="H271" s="1"/>
    </row>
    <row r="272" spans="8:8" x14ac:dyDescent="0.4">
      <c r="H272" s="1"/>
    </row>
    <row r="273" spans="8:8" x14ac:dyDescent="0.4">
      <c r="H273" s="1"/>
    </row>
    <row r="274" spans="8:8" x14ac:dyDescent="0.4">
      <c r="H274" s="1"/>
    </row>
    <row r="275" spans="8:8" x14ac:dyDescent="0.4">
      <c r="H275" s="1"/>
    </row>
    <row r="276" spans="8:8" x14ac:dyDescent="0.4">
      <c r="H276" s="1"/>
    </row>
    <row r="277" spans="8:8" x14ac:dyDescent="0.4">
      <c r="H277" s="1"/>
    </row>
    <row r="278" spans="8:8" x14ac:dyDescent="0.4">
      <c r="H278" s="1"/>
    </row>
    <row r="279" spans="8:8" x14ac:dyDescent="0.4">
      <c r="H279" s="1"/>
    </row>
    <row r="280" spans="8:8" x14ac:dyDescent="0.4">
      <c r="H280" s="1"/>
    </row>
    <row r="281" spans="8:8" x14ac:dyDescent="0.4">
      <c r="H281" s="1"/>
    </row>
    <row r="282" spans="8:8" x14ac:dyDescent="0.4">
      <c r="H282" s="1"/>
    </row>
    <row r="283" spans="8:8" x14ac:dyDescent="0.4">
      <c r="H283" s="1"/>
    </row>
    <row r="284" spans="8:8" x14ac:dyDescent="0.4">
      <c r="H284" s="1"/>
    </row>
    <row r="285" spans="8:8" x14ac:dyDescent="0.4">
      <c r="H285" s="1"/>
    </row>
    <row r="286" spans="8:8" x14ac:dyDescent="0.4">
      <c r="H286" s="1"/>
    </row>
    <row r="287" spans="8:8" x14ac:dyDescent="0.4">
      <c r="H287" s="1"/>
    </row>
    <row r="288" spans="8:8" x14ac:dyDescent="0.4">
      <c r="H288" s="1"/>
    </row>
    <row r="289" spans="8:8" x14ac:dyDescent="0.4">
      <c r="H289" s="1"/>
    </row>
    <row r="290" spans="8:8" x14ac:dyDescent="0.4">
      <c r="H290" s="1"/>
    </row>
    <row r="291" spans="8:8" x14ac:dyDescent="0.4">
      <c r="H291" s="1"/>
    </row>
    <row r="292" spans="8:8" x14ac:dyDescent="0.4">
      <c r="H292" s="1"/>
    </row>
    <row r="293" spans="8:8" x14ac:dyDescent="0.4">
      <c r="H293" s="1"/>
    </row>
    <row r="294" spans="8:8" x14ac:dyDescent="0.4">
      <c r="H294" s="1"/>
    </row>
    <row r="295" spans="8:8" x14ac:dyDescent="0.4">
      <c r="H295" s="1"/>
    </row>
    <row r="296" spans="8:8" x14ac:dyDescent="0.4">
      <c r="H296" s="1"/>
    </row>
    <row r="297" spans="8:8" x14ac:dyDescent="0.4">
      <c r="H297" s="1"/>
    </row>
    <row r="298" spans="8:8" x14ac:dyDescent="0.4">
      <c r="H298" s="1"/>
    </row>
    <row r="299" spans="8:8" x14ac:dyDescent="0.4">
      <c r="H299" s="1"/>
    </row>
    <row r="300" spans="8:8" x14ac:dyDescent="0.4">
      <c r="H300" s="1"/>
    </row>
    <row r="301" spans="8:8" x14ac:dyDescent="0.4">
      <c r="H301" s="1"/>
    </row>
    <row r="302" spans="8:8" x14ac:dyDescent="0.4">
      <c r="H302" s="1"/>
    </row>
    <row r="303" spans="8:8" x14ac:dyDescent="0.4">
      <c r="H303" s="1"/>
    </row>
    <row r="304" spans="8:8" x14ac:dyDescent="0.4">
      <c r="H304" s="1"/>
    </row>
    <row r="305" spans="8:8" x14ac:dyDescent="0.4">
      <c r="H305" s="1"/>
    </row>
    <row r="306" spans="8:8" x14ac:dyDescent="0.4">
      <c r="H306" s="1"/>
    </row>
    <row r="307" spans="8:8" x14ac:dyDescent="0.4">
      <c r="H307" s="1"/>
    </row>
    <row r="308" spans="8:8" x14ac:dyDescent="0.4">
      <c r="H308" s="1"/>
    </row>
    <row r="309" spans="8:8" x14ac:dyDescent="0.4">
      <c r="H309" s="1"/>
    </row>
    <row r="310" spans="8:8" x14ac:dyDescent="0.4">
      <c r="H310" s="1"/>
    </row>
    <row r="311" spans="8:8" x14ac:dyDescent="0.4">
      <c r="H311" s="1"/>
    </row>
    <row r="312" spans="8:8" x14ac:dyDescent="0.4">
      <c r="H312" s="1"/>
    </row>
    <row r="313" spans="8:8" x14ac:dyDescent="0.4">
      <c r="H313" s="1"/>
    </row>
    <row r="314" spans="8:8" x14ac:dyDescent="0.4">
      <c r="H314" s="1"/>
    </row>
    <row r="315" spans="8:8" x14ac:dyDescent="0.4">
      <c r="H315" s="1"/>
    </row>
    <row r="316" spans="8:8" x14ac:dyDescent="0.4">
      <c r="H316" s="1"/>
    </row>
    <row r="317" spans="8:8" x14ac:dyDescent="0.4">
      <c r="H317" s="1"/>
    </row>
    <row r="318" spans="8:8" x14ac:dyDescent="0.4">
      <c r="H318" s="1"/>
    </row>
    <row r="319" spans="8:8" x14ac:dyDescent="0.4">
      <c r="H319" s="1"/>
    </row>
    <row r="320" spans="8:8" x14ac:dyDescent="0.4">
      <c r="H320" s="1"/>
    </row>
    <row r="321" spans="8:8" x14ac:dyDescent="0.4">
      <c r="H321" s="1"/>
    </row>
    <row r="322" spans="8:8" x14ac:dyDescent="0.4">
      <c r="H322" s="1"/>
    </row>
    <row r="323" spans="8:8" x14ac:dyDescent="0.4">
      <c r="H323" s="1"/>
    </row>
    <row r="324" spans="8:8" x14ac:dyDescent="0.4">
      <c r="H324" s="1"/>
    </row>
    <row r="325" spans="8:8" x14ac:dyDescent="0.4">
      <c r="H325" s="1"/>
    </row>
    <row r="326" spans="8:8" x14ac:dyDescent="0.4">
      <c r="H326" s="1"/>
    </row>
    <row r="327" spans="8:8" x14ac:dyDescent="0.4">
      <c r="H327" s="1"/>
    </row>
    <row r="328" spans="8:8" x14ac:dyDescent="0.4">
      <c r="H328" s="1"/>
    </row>
    <row r="329" spans="8:8" x14ac:dyDescent="0.4">
      <c r="H329" s="1"/>
    </row>
    <row r="330" spans="8:8" x14ac:dyDescent="0.4">
      <c r="H330" s="1"/>
    </row>
    <row r="331" spans="8:8" x14ac:dyDescent="0.4">
      <c r="H331" s="1"/>
    </row>
    <row r="332" spans="8:8" x14ac:dyDescent="0.4">
      <c r="H332" s="1"/>
    </row>
    <row r="333" spans="8:8" x14ac:dyDescent="0.4">
      <c r="H333" s="1"/>
    </row>
    <row r="334" spans="8:8" x14ac:dyDescent="0.4">
      <c r="H334" s="1"/>
    </row>
    <row r="335" spans="8:8" x14ac:dyDescent="0.4">
      <c r="H335" s="1"/>
    </row>
    <row r="336" spans="8:8" x14ac:dyDescent="0.4">
      <c r="H336" s="1"/>
    </row>
    <row r="337" spans="8:8" x14ac:dyDescent="0.4">
      <c r="H337" s="1"/>
    </row>
    <row r="338" spans="8:8" x14ac:dyDescent="0.4">
      <c r="H338" s="1"/>
    </row>
    <row r="339" spans="8:8" x14ac:dyDescent="0.4">
      <c r="H339" s="1"/>
    </row>
    <row r="340" spans="8:8" x14ac:dyDescent="0.4">
      <c r="H340" s="1"/>
    </row>
    <row r="341" spans="8:8" x14ac:dyDescent="0.4">
      <c r="H341" s="1"/>
    </row>
    <row r="342" spans="8:8" x14ac:dyDescent="0.4">
      <c r="H342" s="1"/>
    </row>
    <row r="343" spans="8:8" x14ac:dyDescent="0.4">
      <c r="H343" s="1"/>
    </row>
    <row r="344" spans="8:8" x14ac:dyDescent="0.4">
      <c r="H344" s="1"/>
    </row>
    <row r="345" spans="8:8" x14ac:dyDescent="0.4">
      <c r="H345" s="1"/>
    </row>
    <row r="346" spans="8:8" x14ac:dyDescent="0.4">
      <c r="H346" s="1"/>
    </row>
    <row r="347" spans="8:8" x14ac:dyDescent="0.4">
      <c r="H347" s="1"/>
    </row>
    <row r="348" spans="8:8" x14ac:dyDescent="0.4">
      <c r="H348" s="1"/>
    </row>
    <row r="349" spans="8:8" x14ac:dyDescent="0.4">
      <c r="H349" s="1"/>
    </row>
    <row r="350" spans="8:8" x14ac:dyDescent="0.4">
      <c r="H350" s="1"/>
    </row>
    <row r="351" spans="8:8" x14ac:dyDescent="0.4">
      <c r="H351" s="1"/>
    </row>
    <row r="352" spans="8:8" x14ac:dyDescent="0.4">
      <c r="H352" s="1"/>
    </row>
    <row r="353" spans="8:8" x14ac:dyDescent="0.4">
      <c r="H353" s="1"/>
    </row>
    <row r="354" spans="8:8" x14ac:dyDescent="0.4">
      <c r="H354" s="1"/>
    </row>
    <row r="355" spans="8:8" x14ac:dyDescent="0.4">
      <c r="H355" s="1"/>
    </row>
    <row r="356" spans="8:8" x14ac:dyDescent="0.4">
      <c r="H356" s="1"/>
    </row>
    <row r="357" spans="8:8" x14ac:dyDescent="0.4">
      <c r="H357" s="1"/>
    </row>
    <row r="358" spans="8:8" x14ac:dyDescent="0.4">
      <c r="H358" s="1"/>
    </row>
    <row r="359" spans="8:8" x14ac:dyDescent="0.4">
      <c r="H359" s="1"/>
    </row>
    <row r="360" spans="8:8" x14ac:dyDescent="0.4">
      <c r="H360" s="1"/>
    </row>
    <row r="361" spans="8:8" x14ac:dyDescent="0.4">
      <c r="H361" s="1"/>
    </row>
    <row r="362" spans="8:8" x14ac:dyDescent="0.4">
      <c r="H362" s="1"/>
    </row>
    <row r="363" spans="8:8" x14ac:dyDescent="0.4">
      <c r="H363" s="1"/>
    </row>
    <row r="364" spans="8:8" x14ac:dyDescent="0.4">
      <c r="H364" s="1"/>
    </row>
    <row r="365" spans="8:8" x14ac:dyDescent="0.4">
      <c r="H365" s="1"/>
    </row>
    <row r="366" spans="8:8" x14ac:dyDescent="0.4">
      <c r="H366" s="1"/>
    </row>
    <row r="367" spans="8:8" x14ac:dyDescent="0.4">
      <c r="H367" s="1"/>
    </row>
    <row r="368" spans="8:8" x14ac:dyDescent="0.4">
      <c r="H368" s="1"/>
    </row>
    <row r="369" spans="8:8" x14ac:dyDescent="0.4">
      <c r="H369" s="1"/>
    </row>
    <row r="370" spans="8:8" x14ac:dyDescent="0.4">
      <c r="H370" s="1"/>
    </row>
    <row r="371" spans="8:8" x14ac:dyDescent="0.4">
      <c r="H371" s="1"/>
    </row>
    <row r="372" spans="8:8" x14ac:dyDescent="0.4">
      <c r="H372" s="1"/>
    </row>
    <row r="373" spans="8:8" x14ac:dyDescent="0.4">
      <c r="H373" s="1"/>
    </row>
    <row r="374" spans="8:8" x14ac:dyDescent="0.4">
      <c r="H374" s="1"/>
    </row>
    <row r="375" spans="8:8" x14ac:dyDescent="0.4">
      <c r="H375" s="1"/>
    </row>
    <row r="376" spans="8:8" x14ac:dyDescent="0.4">
      <c r="H376" s="1"/>
    </row>
    <row r="377" spans="8:8" x14ac:dyDescent="0.4">
      <c r="H377" s="1"/>
    </row>
    <row r="378" spans="8:8" x14ac:dyDescent="0.4">
      <c r="H378" s="1"/>
    </row>
    <row r="379" spans="8:8" x14ac:dyDescent="0.4">
      <c r="H379" s="1"/>
    </row>
    <row r="380" spans="8:8" x14ac:dyDescent="0.4">
      <c r="H380" s="1"/>
    </row>
    <row r="381" spans="8:8" x14ac:dyDescent="0.4">
      <c r="H381" s="1"/>
    </row>
    <row r="382" spans="8:8" x14ac:dyDescent="0.4">
      <c r="H382" s="1"/>
    </row>
    <row r="383" spans="8:8" x14ac:dyDescent="0.4">
      <c r="H383" s="1"/>
    </row>
    <row r="384" spans="8:8" x14ac:dyDescent="0.4">
      <c r="H384" s="1"/>
    </row>
    <row r="385" spans="8:8" x14ac:dyDescent="0.4">
      <c r="H385" s="1"/>
    </row>
    <row r="386" spans="8:8" x14ac:dyDescent="0.4">
      <c r="H386" s="1"/>
    </row>
    <row r="387" spans="8:8" x14ac:dyDescent="0.4">
      <c r="H387" s="1"/>
    </row>
    <row r="388" spans="8:8" x14ac:dyDescent="0.4">
      <c r="H388" s="1"/>
    </row>
    <row r="389" spans="8:8" x14ac:dyDescent="0.4">
      <c r="H389" s="1"/>
    </row>
    <row r="390" spans="8:8" x14ac:dyDescent="0.4">
      <c r="H390" s="1"/>
    </row>
    <row r="391" spans="8:8" x14ac:dyDescent="0.4">
      <c r="H391" s="1"/>
    </row>
    <row r="392" spans="8:8" x14ac:dyDescent="0.4">
      <c r="H392" s="1"/>
    </row>
    <row r="393" spans="8:8" x14ac:dyDescent="0.4">
      <c r="H393" s="1"/>
    </row>
    <row r="394" spans="8:8" x14ac:dyDescent="0.4">
      <c r="H394" s="1"/>
    </row>
    <row r="395" spans="8:8" x14ac:dyDescent="0.4">
      <c r="H395" s="1"/>
    </row>
    <row r="396" spans="8:8" x14ac:dyDescent="0.4">
      <c r="H396" s="1"/>
    </row>
    <row r="397" spans="8:8" x14ac:dyDescent="0.4">
      <c r="H397" s="1"/>
    </row>
    <row r="398" spans="8:8" x14ac:dyDescent="0.4">
      <c r="H398" s="1"/>
    </row>
    <row r="399" spans="8:8" x14ac:dyDescent="0.4">
      <c r="H399" s="1"/>
    </row>
    <row r="400" spans="8:8" x14ac:dyDescent="0.4">
      <c r="H400" s="1"/>
    </row>
    <row r="401" spans="8:8" x14ac:dyDescent="0.4">
      <c r="H401" s="1"/>
    </row>
    <row r="402" spans="8:8" x14ac:dyDescent="0.4">
      <c r="H402" s="1"/>
    </row>
    <row r="403" spans="8:8" x14ac:dyDescent="0.4">
      <c r="H403" s="1"/>
    </row>
    <row r="404" spans="8:8" x14ac:dyDescent="0.4">
      <c r="H404" s="1"/>
    </row>
    <row r="405" spans="8:8" x14ac:dyDescent="0.4">
      <c r="H405" s="1"/>
    </row>
    <row r="406" spans="8:8" x14ac:dyDescent="0.4">
      <c r="H406" s="1"/>
    </row>
    <row r="407" spans="8:8" x14ac:dyDescent="0.4">
      <c r="H407" s="1"/>
    </row>
    <row r="408" spans="8:8" x14ac:dyDescent="0.4">
      <c r="H408" s="1"/>
    </row>
    <row r="409" spans="8:8" x14ac:dyDescent="0.4">
      <c r="H409" s="1"/>
    </row>
    <row r="410" spans="8:8" x14ac:dyDescent="0.4">
      <c r="H410" s="1"/>
    </row>
    <row r="411" spans="8:8" x14ac:dyDescent="0.4">
      <c r="H411" s="1"/>
    </row>
    <row r="412" spans="8:8" x14ac:dyDescent="0.4">
      <c r="H412" s="1"/>
    </row>
    <row r="413" spans="8:8" x14ac:dyDescent="0.4">
      <c r="H413" s="1"/>
    </row>
    <row r="414" spans="8:8" x14ac:dyDescent="0.4">
      <c r="H414" s="1"/>
    </row>
    <row r="415" spans="8:8" x14ac:dyDescent="0.4">
      <c r="H415" s="1"/>
    </row>
    <row r="416" spans="8:8" x14ac:dyDescent="0.4">
      <c r="H416" s="1"/>
    </row>
    <row r="417" spans="8:8" x14ac:dyDescent="0.4">
      <c r="H417" s="1"/>
    </row>
    <row r="418" spans="8:8" x14ac:dyDescent="0.4">
      <c r="H418" s="1"/>
    </row>
    <row r="419" spans="8:8" x14ac:dyDescent="0.4">
      <c r="H419" s="1"/>
    </row>
    <row r="420" spans="8:8" x14ac:dyDescent="0.4">
      <c r="H420" s="1"/>
    </row>
    <row r="421" spans="8:8" x14ac:dyDescent="0.4">
      <c r="H421" s="1"/>
    </row>
    <row r="422" spans="8:8" x14ac:dyDescent="0.4">
      <c r="H422" s="1"/>
    </row>
    <row r="423" spans="8:8" x14ac:dyDescent="0.4">
      <c r="H423" s="1"/>
    </row>
    <row r="424" spans="8:8" x14ac:dyDescent="0.4">
      <c r="H424" s="1"/>
    </row>
    <row r="425" spans="8:8" x14ac:dyDescent="0.4">
      <c r="H425" s="1"/>
    </row>
    <row r="426" spans="8:8" x14ac:dyDescent="0.4">
      <c r="H426" s="1"/>
    </row>
    <row r="427" spans="8:8" x14ac:dyDescent="0.4">
      <c r="H427" s="1"/>
    </row>
    <row r="428" spans="8:8" x14ac:dyDescent="0.4">
      <c r="H428" s="1"/>
    </row>
    <row r="429" spans="8:8" x14ac:dyDescent="0.4">
      <c r="H429" s="1"/>
    </row>
    <row r="430" spans="8:8" x14ac:dyDescent="0.4">
      <c r="H430" s="1"/>
    </row>
    <row r="431" spans="8:8" x14ac:dyDescent="0.4">
      <c r="H431" s="1"/>
    </row>
    <row r="432" spans="8:8" x14ac:dyDescent="0.4">
      <c r="H432" s="1"/>
    </row>
    <row r="433" spans="8:8" x14ac:dyDescent="0.4">
      <c r="H433" s="1"/>
    </row>
    <row r="434" spans="8:8" x14ac:dyDescent="0.4">
      <c r="H434" s="1"/>
    </row>
    <row r="435" spans="8:8" x14ac:dyDescent="0.4">
      <c r="H435" s="1"/>
    </row>
    <row r="436" spans="8:8" x14ac:dyDescent="0.4">
      <c r="H436" s="1"/>
    </row>
    <row r="437" spans="8:8" x14ac:dyDescent="0.4">
      <c r="H437" s="1"/>
    </row>
    <row r="438" spans="8:8" x14ac:dyDescent="0.4">
      <c r="H438" s="1"/>
    </row>
    <row r="439" spans="8:8" x14ac:dyDescent="0.4">
      <c r="H439" s="1"/>
    </row>
    <row r="440" spans="8:8" x14ac:dyDescent="0.4">
      <c r="H440" s="1"/>
    </row>
    <row r="441" spans="8:8" x14ac:dyDescent="0.4">
      <c r="H441" s="1"/>
    </row>
    <row r="442" spans="8:8" x14ac:dyDescent="0.4">
      <c r="H442" s="1"/>
    </row>
    <row r="443" spans="8:8" x14ac:dyDescent="0.4">
      <c r="H443" s="1"/>
    </row>
    <row r="444" spans="8:8" x14ac:dyDescent="0.4">
      <c r="H444" s="1"/>
    </row>
    <row r="445" spans="8:8" x14ac:dyDescent="0.4">
      <c r="H445" s="1"/>
    </row>
    <row r="446" spans="8:8" x14ac:dyDescent="0.4">
      <c r="H446" s="1"/>
    </row>
    <row r="447" spans="8:8" x14ac:dyDescent="0.4">
      <c r="H447" s="1"/>
    </row>
    <row r="448" spans="8:8" x14ac:dyDescent="0.4">
      <c r="H448" s="1"/>
    </row>
    <row r="449" spans="8:8" x14ac:dyDescent="0.4">
      <c r="H449" s="1"/>
    </row>
    <row r="450" spans="8:8" x14ac:dyDescent="0.4">
      <c r="H450" s="1"/>
    </row>
    <row r="451" spans="8:8" x14ac:dyDescent="0.4">
      <c r="H451" s="1"/>
    </row>
    <row r="452" spans="8:8" x14ac:dyDescent="0.4">
      <c r="H452" s="1"/>
    </row>
    <row r="453" spans="8:8" x14ac:dyDescent="0.4">
      <c r="H453" s="1"/>
    </row>
    <row r="454" spans="8:8" x14ac:dyDescent="0.4">
      <c r="H454" s="1"/>
    </row>
    <row r="455" spans="8:8" x14ac:dyDescent="0.4">
      <c r="H455" s="1"/>
    </row>
    <row r="456" spans="8:8" x14ac:dyDescent="0.4">
      <c r="H456" s="1"/>
    </row>
    <row r="457" spans="8:8" x14ac:dyDescent="0.4">
      <c r="H457" s="1"/>
    </row>
    <row r="458" spans="8:8" x14ac:dyDescent="0.4">
      <c r="H458" s="1"/>
    </row>
    <row r="459" spans="8:8" x14ac:dyDescent="0.4">
      <c r="H459" s="1"/>
    </row>
    <row r="460" spans="8:8" x14ac:dyDescent="0.4">
      <c r="H460" s="1"/>
    </row>
    <row r="461" spans="8:8" x14ac:dyDescent="0.4">
      <c r="H461" s="1"/>
    </row>
    <row r="462" spans="8:8" x14ac:dyDescent="0.4">
      <c r="H462" s="1"/>
    </row>
    <row r="463" spans="8:8" x14ac:dyDescent="0.4">
      <c r="H463" s="1"/>
    </row>
    <row r="464" spans="8:8" x14ac:dyDescent="0.4">
      <c r="H464" s="1"/>
    </row>
    <row r="465" spans="8:8" x14ac:dyDescent="0.4">
      <c r="H465" s="1"/>
    </row>
    <row r="466" spans="8:8" x14ac:dyDescent="0.4">
      <c r="H466" s="1"/>
    </row>
    <row r="467" spans="8:8" x14ac:dyDescent="0.4">
      <c r="H467" s="1"/>
    </row>
    <row r="468" spans="8:8" x14ac:dyDescent="0.4">
      <c r="H468" s="1"/>
    </row>
    <row r="469" spans="8:8" x14ac:dyDescent="0.4">
      <c r="H469" s="1"/>
    </row>
    <row r="470" spans="8:8" x14ac:dyDescent="0.4">
      <c r="H470" s="1"/>
    </row>
    <row r="471" spans="8:8" x14ac:dyDescent="0.4">
      <c r="H471" s="1"/>
    </row>
    <row r="472" spans="8:8" x14ac:dyDescent="0.4">
      <c r="H472" s="1"/>
    </row>
    <row r="473" spans="8:8" x14ac:dyDescent="0.4">
      <c r="H473" s="1"/>
    </row>
    <row r="474" spans="8:8" x14ac:dyDescent="0.4">
      <c r="H474" s="1"/>
    </row>
    <row r="475" spans="8:8" x14ac:dyDescent="0.4">
      <c r="H475" s="1"/>
    </row>
    <row r="476" spans="8:8" x14ac:dyDescent="0.4">
      <c r="H476" s="1"/>
    </row>
    <row r="477" spans="8:8" x14ac:dyDescent="0.4">
      <c r="H477" s="1"/>
    </row>
    <row r="478" spans="8:8" x14ac:dyDescent="0.4">
      <c r="H478" s="1"/>
    </row>
    <row r="479" spans="8:8" x14ac:dyDescent="0.4">
      <c r="H479" s="1"/>
    </row>
    <row r="480" spans="8:8" x14ac:dyDescent="0.4">
      <c r="H480" s="1"/>
    </row>
    <row r="481" spans="8:8" x14ac:dyDescent="0.4">
      <c r="H481" s="1"/>
    </row>
    <row r="482" spans="8:8" x14ac:dyDescent="0.4">
      <c r="H482" s="1"/>
    </row>
    <row r="483" spans="8:8" x14ac:dyDescent="0.4">
      <c r="H483" s="1"/>
    </row>
    <row r="484" spans="8:8" x14ac:dyDescent="0.4">
      <c r="H484" s="1"/>
    </row>
    <row r="485" spans="8:8" x14ac:dyDescent="0.4">
      <c r="H485" s="1"/>
    </row>
    <row r="486" spans="8:8" x14ac:dyDescent="0.4">
      <c r="H486" s="1"/>
    </row>
    <row r="487" spans="8:8" x14ac:dyDescent="0.4">
      <c r="H487" s="1"/>
    </row>
    <row r="488" spans="8:8" x14ac:dyDescent="0.4">
      <c r="H488" s="1"/>
    </row>
    <row r="489" spans="8:8" x14ac:dyDescent="0.4">
      <c r="H489" s="1"/>
    </row>
    <row r="490" spans="8:8" x14ac:dyDescent="0.4">
      <c r="H490" s="1"/>
    </row>
    <row r="491" spans="8:8" x14ac:dyDescent="0.4">
      <c r="H491" s="1"/>
    </row>
    <row r="492" spans="8:8" x14ac:dyDescent="0.4">
      <c r="H492" s="1"/>
    </row>
    <row r="493" spans="8:8" x14ac:dyDescent="0.4">
      <c r="H493" s="1"/>
    </row>
    <row r="494" spans="8:8" x14ac:dyDescent="0.4">
      <c r="H494" s="1"/>
    </row>
    <row r="495" spans="8:8" x14ac:dyDescent="0.4">
      <c r="H495" s="1"/>
    </row>
    <row r="496" spans="8:8" x14ac:dyDescent="0.4">
      <c r="H496" s="1"/>
    </row>
    <row r="497" spans="8:8" x14ac:dyDescent="0.4">
      <c r="H497" s="1"/>
    </row>
    <row r="498" spans="8:8" x14ac:dyDescent="0.4">
      <c r="H498" s="1"/>
    </row>
    <row r="499" spans="8:8" x14ac:dyDescent="0.4">
      <c r="H499" s="1"/>
    </row>
    <row r="500" spans="8:8" x14ac:dyDescent="0.4">
      <c r="H500" s="1"/>
    </row>
    <row r="501" spans="8:8" x14ac:dyDescent="0.4">
      <c r="H501" s="1"/>
    </row>
    <row r="502" spans="8:8" x14ac:dyDescent="0.4">
      <c r="H502" s="1"/>
    </row>
    <row r="503" spans="8:8" x14ac:dyDescent="0.4">
      <c r="H503" s="1"/>
    </row>
    <row r="504" spans="8:8" x14ac:dyDescent="0.4">
      <c r="H504" s="1"/>
    </row>
    <row r="505" spans="8:8" x14ac:dyDescent="0.4">
      <c r="H505" s="1"/>
    </row>
    <row r="506" spans="8:8" x14ac:dyDescent="0.4">
      <c r="H506" s="1"/>
    </row>
    <row r="507" spans="8:8" x14ac:dyDescent="0.4">
      <c r="H507" s="1"/>
    </row>
    <row r="508" spans="8:8" x14ac:dyDescent="0.4">
      <c r="H508" s="1"/>
    </row>
    <row r="509" spans="8:8" x14ac:dyDescent="0.4">
      <c r="H509" s="1"/>
    </row>
    <row r="510" spans="8:8" x14ac:dyDescent="0.4">
      <c r="H510" s="1"/>
    </row>
    <row r="511" spans="8:8" x14ac:dyDescent="0.4">
      <c r="H511" s="1"/>
    </row>
    <row r="512" spans="8:8" x14ac:dyDescent="0.4">
      <c r="H512" s="1"/>
    </row>
    <row r="513" spans="8:8" x14ac:dyDescent="0.4">
      <c r="H513" s="1"/>
    </row>
    <row r="514" spans="8:8" x14ac:dyDescent="0.4">
      <c r="H514" s="1"/>
    </row>
    <row r="515" spans="8:8" x14ac:dyDescent="0.4">
      <c r="H515" s="1"/>
    </row>
    <row r="516" spans="8:8" x14ac:dyDescent="0.4">
      <c r="H516" s="1"/>
    </row>
    <row r="517" spans="8:8" x14ac:dyDescent="0.4">
      <c r="H517" s="1"/>
    </row>
    <row r="518" spans="8:8" x14ac:dyDescent="0.4">
      <c r="H518" s="1"/>
    </row>
    <row r="519" spans="8:8" x14ac:dyDescent="0.4">
      <c r="H519" s="1"/>
    </row>
    <row r="520" spans="8:8" x14ac:dyDescent="0.4">
      <c r="H520" s="1"/>
    </row>
    <row r="521" spans="8:8" x14ac:dyDescent="0.4">
      <c r="H521" s="1"/>
    </row>
    <row r="522" spans="8:8" x14ac:dyDescent="0.4">
      <c r="H522" s="1"/>
    </row>
    <row r="523" spans="8:8" x14ac:dyDescent="0.4">
      <c r="H523" s="1"/>
    </row>
    <row r="524" spans="8:8" x14ac:dyDescent="0.4">
      <c r="H524" s="1"/>
    </row>
    <row r="525" spans="8:8" x14ac:dyDescent="0.4">
      <c r="H525" s="1"/>
    </row>
    <row r="526" spans="8:8" x14ac:dyDescent="0.4">
      <c r="H526" s="1"/>
    </row>
    <row r="527" spans="8:8" x14ac:dyDescent="0.4">
      <c r="H527" s="1"/>
    </row>
    <row r="528" spans="8:8" x14ac:dyDescent="0.4">
      <c r="H528" s="1"/>
    </row>
    <row r="529" spans="8:8" x14ac:dyDescent="0.4">
      <c r="H529" s="1"/>
    </row>
    <row r="530" spans="8:8" x14ac:dyDescent="0.4">
      <c r="H530" s="1"/>
    </row>
    <row r="531" spans="8:8" x14ac:dyDescent="0.4">
      <c r="H531" s="1"/>
    </row>
    <row r="532" spans="8:8" x14ac:dyDescent="0.4">
      <c r="H532" s="1"/>
    </row>
    <row r="533" spans="8:8" x14ac:dyDescent="0.4">
      <c r="H533" s="1"/>
    </row>
    <row r="534" spans="8:8" x14ac:dyDescent="0.4">
      <c r="H534" s="1"/>
    </row>
    <row r="535" spans="8:8" x14ac:dyDescent="0.4">
      <c r="H535" s="1"/>
    </row>
    <row r="536" spans="8:8" x14ac:dyDescent="0.4">
      <c r="H536" s="1"/>
    </row>
    <row r="537" spans="8:8" x14ac:dyDescent="0.4">
      <c r="H537" s="1"/>
    </row>
    <row r="538" spans="8:8" x14ac:dyDescent="0.4">
      <c r="H538" s="1"/>
    </row>
    <row r="539" spans="8:8" x14ac:dyDescent="0.4">
      <c r="H539" s="1"/>
    </row>
    <row r="540" spans="8:8" x14ac:dyDescent="0.4">
      <c r="H540" s="1"/>
    </row>
    <row r="541" spans="8:8" x14ac:dyDescent="0.4">
      <c r="H541" s="1"/>
    </row>
    <row r="542" spans="8:8" x14ac:dyDescent="0.4">
      <c r="H542" s="1"/>
    </row>
    <row r="543" spans="8:8" x14ac:dyDescent="0.4">
      <c r="H543" s="1"/>
    </row>
    <row r="544" spans="8:8" x14ac:dyDescent="0.4">
      <c r="H544" s="1"/>
    </row>
    <row r="545" spans="8:8" x14ac:dyDescent="0.4">
      <c r="H545" s="1"/>
    </row>
    <row r="546" spans="8:8" x14ac:dyDescent="0.4">
      <c r="H546" s="1"/>
    </row>
    <row r="547" spans="8:8" x14ac:dyDescent="0.4">
      <c r="H547" s="1"/>
    </row>
    <row r="548" spans="8:8" x14ac:dyDescent="0.4">
      <c r="H548" s="1"/>
    </row>
    <row r="549" spans="8:8" x14ac:dyDescent="0.4">
      <c r="H549" s="1"/>
    </row>
    <row r="550" spans="8:8" x14ac:dyDescent="0.4">
      <c r="H550" s="1"/>
    </row>
    <row r="551" spans="8:8" x14ac:dyDescent="0.4">
      <c r="H551" s="1"/>
    </row>
    <row r="552" spans="8:8" x14ac:dyDescent="0.4">
      <c r="H552" s="1"/>
    </row>
    <row r="553" spans="8:8" x14ac:dyDescent="0.4">
      <c r="H553" s="1"/>
    </row>
    <row r="554" spans="8:8" x14ac:dyDescent="0.4">
      <c r="H554" s="1"/>
    </row>
    <row r="555" spans="8:8" x14ac:dyDescent="0.4">
      <c r="H555" s="1"/>
    </row>
    <row r="556" spans="8:8" x14ac:dyDescent="0.4">
      <c r="H556" s="1"/>
    </row>
    <row r="557" spans="8:8" x14ac:dyDescent="0.4">
      <c r="H557" s="1"/>
    </row>
    <row r="558" spans="8:8" x14ac:dyDescent="0.4">
      <c r="H558" s="1"/>
    </row>
    <row r="559" spans="8:8" x14ac:dyDescent="0.4">
      <c r="H559" s="1"/>
    </row>
    <row r="560" spans="8:8" x14ac:dyDescent="0.4">
      <c r="H560" s="1"/>
    </row>
    <row r="561" spans="8:8" x14ac:dyDescent="0.4">
      <c r="H561" s="1"/>
    </row>
    <row r="562" spans="8:8" x14ac:dyDescent="0.4">
      <c r="H562" s="1"/>
    </row>
    <row r="563" spans="8:8" x14ac:dyDescent="0.4">
      <c r="H563" s="1"/>
    </row>
    <row r="564" spans="8:8" x14ac:dyDescent="0.4">
      <c r="H564" s="1"/>
    </row>
    <row r="565" spans="8:8" x14ac:dyDescent="0.4">
      <c r="H565" s="1"/>
    </row>
    <row r="566" spans="8:8" x14ac:dyDescent="0.4">
      <c r="H566" s="1"/>
    </row>
    <row r="567" spans="8:8" x14ac:dyDescent="0.4">
      <c r="H567" s="1"/>
    </row>
    <row r="568" spans="8:8" x14ac:dyDescent="0.4">
      <c r="H568" s="1"/>
    </row>
    <row r="569" spans="8:8" x14ac:dyDescent="0.4">
      <c r="H569" s="1"/>
    </row>
    <row r="570" spans="8:8" x14ac:dyDescent="0.4">
      <c r="H570" s="1"/>
    </row>
    <row r="571" spans="8:8" x14ac:dyDescent="0.4">
      <c r="H571" s="1"/>
    </row>
    <row r="572" spans="8:8" x14ac:dyDescent="0.4">
      <c r="H572" s="1"/>
    </row>
    <row r="573" spans="8:8" x14ac:dyDescent="0.4">
      <c r="H573" s="1"/>
    </row>
    <row r="574" spans="8:8" x14ac:dyDescent="0.4">
      <c r="H574" s="1"/>
    </row>
    <row r="575" spans="8:8" x14ac:dyDescent="0.4">
      <c r="H575" s="1"/>
    </row>
    <row r="576" spans="8:8" x14ac:dyDescent="0.4">
      <c r="H576" s="1"/>
    </row>
    <row r="577" spans="8:8" x14ac:dyDescent="0.4">
      <c r="H577" s="1"/>
    </row>
    <row r="578" spans="8:8" x14ac:dyDescent="0.4">
      <c r="H578" s="1"/>
    </row>
    <row r="579" spans="8:8" x14ac:dyDescent="0.4">
      <c r="H579" s="1"/>
    </row>
    <row r="580" spans="8:8" x14ac:dyDescent="0.4">
      <c r="H580" s="1"/>
    </row>
    <row r="581" spans="8:8" x14ac:dyDescent="0.4">
      <c r="H581" s="1"/>
    </row>
    <row r="582" spans="8:8" x14ac:dyDescent="0.4">
      <c r="H582" s="1"/>
    </row>
    <row r="583" spans="8:8" x14ac:dyDescent="0.4">
      <c r="H583" s="1"/>
    </row>
    <row r="584" spans="8:8" x14ac:dyDescent="0.4">
      <c r="H584" s="1"/>
    </row>
    <row r="585" spans="8:8" x14ac:dyDescent="0.4">
      <c r="H585" s="1"/>
    </row>
    <row r="586" spans="8:8" x14ac:dyDescent="0.4">
      <c r="H586" s="1"/>
    </row>
    <row r="587" spans="8:8" x14ac:dyDescent="0.4">
      <c r="H587" s="1"/>
    </row>
    <row r="588" spans="8:8" x14ac:dyDescent="0.4">
      <c r="H588" s="1"/>
    </row>
    <row r="589" spans="8:8" x14ac:dyDescent="0.4">
      <c r="H589" s="1"/>
    </row>
    <row r="590" spans="8:8" x14ac:dyDescent="0.4">
      <c r="H590" s="1"/>
    </row>
    <row r="591" spans="8:8" x14ac:dyDescent="0.4">
      <c r="H591" s="1"/>
    </row>
    <row r="592" spans="8:8" x14ac:dyDescent="0.4">
      <c r="H592" s="1"/>
    </row>
    <row r="593" spans="8:8" x14ac:dyDescent="0.4">
      <c r="H593" s="1"/>
    </row>
    <row r="594" spans="8:8" x14ac:dyDescent="0.4">
      <c r="H594" s="1"/>
    </row>
    <row r="595" spans="8:8" x14ac:dyDescent="0.4">
      <c r="H595" s="1"/>
    </row>
    <row r="596" spans="8:8" x14ac:dyDescent="0.4">
      <c r="H596" s="1"/>
    </row>
    <row r="597" spans="8:8" x14ac:dyDescent="0.4">
      <c r="H597" s="1"/>
    </row>
    <row r="598" spans="8:8" x14ac:dyDescent="0.4">
      <c r="H598" s="1"/>
    </row>
    <row r="599" spans="8:8" x14ac:dyDescent="0.4">
      <c r="H599" s="1"/>
    </row>
    <row r="600" spans="8:8" x14ac:dyDescent="0.4">
      <c r="H600" s="1"/>
    </row>
    <row r="601" spans="8:8" x14ac:dyDescent="0.4">
      <c r="H601" s="1"/>
    </row>
    <row r="602" spans="8:8" x14ac:dyDescent="0.4">
      <c r="H602" s="1"/>
    </row>
    <row r="603" spans="8:8" x14ac:dyDescent="0.4">
      <c r="H603" s="1"/>
    </row>
    <row r="604" spans="8:8" x14ac:dyDescent="0.4">
      <c r="H604" s="1"/>
    </row>
    <row r="605" spans="8:8" x14ac:dyDescent="0.4">
      <c r="H605" s="1"/>
    </row>
    <row r="606" spans="8:8" x14ac:dyDescent="0.4">
      <c r="H606" s="1"/>
    </row>
    <row r="607" spans="8:8" x14ac:dyDescent="0.4">
      <c r="H607" s="1"/>
    </row>
    <row r="608" spans="8:8" x14ac:dyDescent="0.4">
      <c r="H608" s="1"/>
    </row>
    <row r="609" spans="8:8" x14ac:dyDescent="0.4">
      <c r="H609" s="1"/>
    </row>
    <row r="610" spans="8:8" x14ac:dyDescent="0.4">
      <c r="H610" s="1"/>
    </row>
    <row r="611" spans="8:8" x14ac:dyDescent="0.4">
      <c r="H611" s="1"/>
    </row>
    <row r="612" spans="8:8" x14ac:dyDescent="0.4">
      <c r="H612" s="1"/>
    </row>
    <row r="613" spans="8:8" x14ac:dyDescent="0.4">
      <c r="H613" s="1"/>
    </row>
    <row r="614" spans="8:8" x14ac:dyDescent="0.4">
      <c r="H614" s="1"/>
    </row>
    <row r="615" spans="8:8" x14ac:dyDescent="0.4">
      <c r="H615" s="1"/>
    </row>
    <row r="616" spans="8:8" x14ac:dyDescent="0.4">
      <c r="H616" s="1"/>
    </row>
    <row r="617" spans="8:8" x14ac:dyDescent="0.4">
      <c r="H617" s="1"/>
    </row>
    <row r="618" spans="8:8" x14ac:dyDescent="0.4">
      <c r="H618" s="1"/>
    </row>
    <row r="619" spans="8:8" x14ac:dyDescent="0.4">
      <c r="H619" s="1"/>
    </row>
    <row r="620" spans="8:8" x14ac:dyDescent="0.4">
      <c r="H620" s="1"/>
    </row>
    <row r="621" spans="8:8" x14ac:dyDescent="0.4">
      <c r="H621" s="1"/>
    </row>
    <row r="622" spans="8:8" x14ac:dyDescent="0.4">
      <c r="H622" s="1"/>
    </row>
    <row r="623" spans="8:8" x14ac:dyDescent="0.4">
      <c r="H623" s="1"/>
    </row>
    <row r="624" spans="8:8" x14ac:dyDescent="0.4">
      <c r="H624" s="1"/>
    </row>
    <row r="625" spans="8:8" x14ac:dyDescent="0.4">
      <c r="H625" s="1"/>
    </row>
    <row r="626" spans="8:8" x14ac:dyDescent="0.4">
      <c r="H626" s="1"/>
    </row>
    <row r="627" spans="8:8" x14ac:dyDescent="0.4">
      <c r="H627" s="1"/>
    </row>
    <row r="628" spans="8:8" x14ac:dyDescent="0.4">
      <c r="H628" s="1"/>
    </row>
    <row r="629" spans="8:8" x14ac:dyDescent="0.4">
      <c r="H629" s="1"/>
    </row>
    <row r="630" spans="8:8" x14ac:dyDescent="0.4">
      <c r="H630" s="1"/>
    </row>
    <row r="631" spans="8:8" x14ac:dyDescent="0.4">
      <c r="H631" s="1"/>
    </row>
    <row r="632" spans="8:8" x14ac:dyDescent="0.4">
      <c r="H632" s="1"/>
    </row>
    <row r="633" spans="8:8" x14ac:dyDescent="0.4">
      <c r="H633" s="1"/>
    </row>
    <row r="634" spans="8:8" x14ac:dyDescent="0.4">
      <c r="H634" s="1"/>
    </row>
    <row r="635" spans="8:8" x14ac:dyDescent="0.4">
      <c r="H635" s="1"/>
    </row>
    <row r="636" spans="8:8" x14ac:dyDescent="0.4">
      <c r="H636" s="1"/>
    </row>
    <row r="637" spans="8:8" x14ac:dyDescent="0.4">
      <c r="H637" s="1"/>
    </row>
    <row r="638" spans="8:8" x14ac:dyDescent="0.4">
      <c r="H638" s="1"/>
    </row>
    <row r="639" spans="8:8" x14ac:dyDescent="0.4">
      <c r="H639" s="1"/>
    </row>
    <row r="640" spans="8:8" x14ac:dyDescent="0.4">
      <c r="H640" s="1"/>
    </row>
    <row r="641" spans="8:8" x14ac:dyDescent="0.4">
      <c r="H641" s="1"/>
    </row>
    <row r="642" spans="8:8" x14ac:dyDescent="0.4">
      <c r="H642" s="1"/>
    </row>
    <row r="643" spans="8:8" x14ac:dyDescent="0.4">
      <c r="H643" s="1"/>
    </row>
    <row r="644" spans="8:8" x14ac:dyDescent="0.4">
      <c r="H644" s="1"/>
    </row>
    <row r="645" spans="8:8" x14ac:dyDescent="0.4">
      <c r="H645" s="1"/>
    </row>
    <row r="646" spans="8:8" x14ac:dyDescent="0.4">
      <c r="H646" s="1"/>
    </row>
    <row r="647" spans="8:8" x14ac:dyDescent="0.4">
      <c r="H647" s="1"/>
    </row>
    <row r="648" spans="8:8" x14ac:dyDescent="0.4">
      <c r="H648" s="1"/>
    </row>
    <row r="649" spans="8:8" x14ac:dyDescent="0.4">
      <c r="H649" s="1"/>
    </row>
    <row r="650" spans="8:8" x14ac:dyDescent="0.4">
      <c r="H650" s="1"/>
    </row>
    <row r="651" spans="8:8" x14ac:dyDescent="0.4">
      <c r="H651" s="1"/>
    </row>
    <row r="652" spans="8:8" x14ac:dyDescent="0.4">
      <c r="H652" s="1"/>
    </row>
    <row r="653" spans="8:8" x14ac:dyDescent="0.4">
      <c r="H653" s="1"/>
    </row>
    <row r="654" spans="8:8" x14ac:dyDescent="0.4">
      <c r="H654" s="1"/>
    </row>
    <row r="655" spans="8:8" x14ac:dyDescent="0.4">
      <c r="H655" s="1"/>
    </row>
    <row r="656" spans="8:8" x14ac:dyDescent="0.4">
      <c r="H656" s="1"/>
    </row>
    <row r="657" spans="8:8" x14ac:dyDescent="0.4">
      <c r="H657" s="1"/>
    </row>
    <row r="658" spans="8:8" x14ac:dyDescent="0.4">
      <c r="H658" s="1"/>
    </row>
    <row r="659" spans="8:8" x14ac:dyDescent="0.4">
      <c r="H659" s="1"/>
    </row>
    <row r="660" spans="8:8" x14ac:dyDescent="0.4">
      <c r="H660" s="1"/>
    </row>
    <row r="661" spans="8:8" x14ac:dyDescent="0.4">
      <c r="H661" s="1"/>
    </row>
    <row r="662" spans="8:8" x14ac:dyDescent="0.4">
      <c r="H662" s="1"/>
    </row>
    <row r="663" spans="8:8" x14ac:dyDescent="0.4">
      <c r="H663" s="1"/>
    </row>
    <row r="664" spans="8:8" x14ac:dyDescent="0.4">
      <c r="H664" s="1"/>
    </row>
    <row r="665" spans="8:8" x14ac:dyDescent="0.4">
      <c r="H665" s="1"/>
    </row>
    <row r="666" spans="8:8" x14ac:dyDescent="0.4">
      <c r="H666" s="1"/>
    </row>
    <row r="667" spans="8:8" x14ac:dyDescent="0.4">
      <c r="H667" s="1"/>
    </row>
    <row r="668" spans="8:8" x14ac:dyDescent="0.4">
      <c r="H668" s="1"/>
    </row>
    <row r="669" spans="8:8" x14ac:dyDescent="0.4">
      <c r="H669" s="1"/>
    </row>
    <row r="670" spans="8:8" x14ac:dyDescent="0.4">
      <c r="H670" s="1"/>
    </row>
    <row r="671" spans="8:8" x14ac:dyDescent="0.4">
      <c r="H671" s="1"/>
    </row>
    <row r="672" spans="8:8" x14ac:dyDescent="0.4">
      <c r="H672" s="1"/>
    </row>
    <row r="673" spans="8:8" x14ac:dyDescent="0.4">
      <c r="H673" s="1"/>
    </row>
    <row r="674" spans="8:8" x14ac:dyDescent="0.4">
      <c r="H674" s="1"/>
    </row>
    <row r="675" spans="8:8" x14ac:dyDescent="0.4">
      <c r="H675" s="1"/>
    </row>
    <row r="676" spans="8:8" x14ac:dyDescent="0.4">
      <c r="H676" s="1"/>
    </row>
    <row r="677" spans="8:8" x14ac:dyDescent="0.4">
      <c r="H677" s="1"/>
    </row>
    <row r="678" spans="8:8" x14ac:dyDescent="0.4">
      <c r="H678" s="1"/>
    </row>
    <row r="679" spans="8:8" x14ac:dyDescent="0.4">
      <c r="H679" s="1"/>
    </row>
    <row r="680" spans="8:8" x14ac:dyDescent="0.4">
      <c r="H680" s="1"/>
    </row>
    <row r="681" spans="8:8" x14ac:dyDescent="0.4">
      <c r="H681" s="1"/>
    </row>
    <row r="682" spans="8:8" x14ac:dyDescent="0.4">
      <c r="H682" s="1"/>
    </row>
    <row r="683" spans="8:8" x14ac:dyDescent="0.4">
      <c r="H683" s="1"/>
    </row>
    <row r="684" spans="8:8" x14ac:dyDescent="0.4">
      <c r="H684" s="1"/>
    </row>
    <row r="685" spans="8:8" x14ac:dyDescent="0.4">
      <c r="H685" s="1"/>
    </row>
    <row r="686" spans="8:8" x14ac:dyDescent="0.4">
      <c r="H686" s="1"/>
    </row>
    <row r="687" spans="8:8" x14ac:dyDescent="0.4">
      <c r="H687" s="1"/>
    </row>
    <row r="688" spans="8:8" x14ac:dyDescent="0.4">
      <c r="H688" s="1"/>
    </row>
    <row r="689" spans="8:8" x14ac:dyDescent="0.4">
      <c r="H689" s="1"/>
    </row>
    <row r="690" spans="8:8" x14ac:dyDescent="0.4">
      <c r="H690" s="1"/>
    </row>
    <row r="691" spans="8:8" x14ac:dyDescent="0.4">
      <c r="H691" s="1"/>
    </row>
    <row r="692" spans="8:8" x14ac:dyDescent="0.4">
      <c r="H692" s="1"/>
    </row>
    <row r="693" spans="8:8" x14ac:dyDescent="0.4">
      <c r="H693" s="1"/>
    </row>
    <row r="694" spans="8:8" x14ac:dyDescent="0.4">
      <c r="H694" s="1"/>
    </row>
    <row r="695" spans="8:8" x14ac:dyDescent="0.4">
      <c r="H695" s="1"/>
    </row>
    <row r="696" spans="8:8" x14ac:dyDescent="0.4">
      <c r="H696" s="1"/>
    </row>
    <row r="697" spans="8:8" x14ac:dyDescent="0.4">
      <c r="H697" s="1"/>
    </row>
    <row r="698" spans="8:8" x14ac:dyDescent="0.4">
      <c r="H698" s="1"/>
    </row>
    <row r="699" spans="8:8" x14ac:dyDescent="0.4">
      <c r="H699" s="1"/>
    </row>
    <row r="700" spans="8:8" x14ac:dyDescent="0.4">
      <c r="H700" s="1"/>
    </row>
    <row r="701" spans="8:8" x14ac:dyDescent="0.4">
      <c r="H701" s="1"/>
    </row>
    <row r="702" spans="8:8" x14ac:dyDescent="0.4">
      <c r="H702" s="1"/>
    </row>
    <row r="703" spans="8:8" x14ac:dyDescent="0.4">
      <c r="H703" s="1"/>
    </row>
    <row r="704" spans="8:8" x14ac:dyDescent="0.4">
      <c r="H704" s="1"/>
    </row>
    <row r="705" spans="8:8" x14ac:dyDescent="0.4">
      <c r="H705" s="1"/>
    </row>
    <row r="706" spans="8:8" x14ac:dyDescent="0.4">
      <c r="H706" s="1"/>
    </row>
    <row r="707" spans="8:8" x14ac:dyDescent="0.4">
      <c r="H707" s="1"/>
    </row>
    <row r="708" spans="8:8" x14ac:dyDescent="0.4">
      <c r="H708" s="1"/>
    </row>
    <row r="709" spans="8:8" x14ac:dyDescent="0.4">
      <c r="H709" s="1"/>
    </row>
    <row r="710" spans="8:8" x14ac:dyDescent="0.4">
      <c r="H710" s="1"/>
    </row>
    <row r="711" spans="8:8" x14ac:dyDescent="0.4">
      <c r="H711" s="1"/>
    </row>
    <row r="712" spans="8:8" x14ac:dyDescent="0.4">
      <c r="H712" s="1"/>
    </row>
    <row r="713" spans="8:8" x14ac:dyDescent="0.4">
      <c r="H713" s="1"/>
    </row>
    <row r="714" spans="8:8" x14ac:dyDescent="0.4">
      <c r="H714" s="1"/>
    </row>
    <row r="715" spans="8:8" x14ac:dyDescent="0.4">
      <c r="H715" s="1"/>
    </row>
    <row r="716" spans="8:8" x14ac:dyDescent="0.4">
      <c r="H716" s="1"/>
    </row>
    <row r="717" spans="8:8" x14ac:dyDescent="0.4">
      <c r="H717" s="1"/>
    </row>
    <row r="718" spans="8:8" x14ac:dyDescent="0.4">
      <c r="H718" s="1"/>
    </row>
    <row r="719" spans="8:8" x14ac:dyDescent="0.4">
      <c r="H719" s="1"/>
    </row>
    <row r="720" spans="8:8" x14ac:dyDescent="0.4">
      <c r="H720" s="1"/>
    </row>
    <row r="721" spans="8:8" x14ac:dyDescent="0.4">
      <c r="H721" s="1"/>
    </row>
    <row r="722" spans="8:8" x14ac:dyDescent="0.4">
      <c r="H722" s="1"/>
    </row>
    <row r="723" spans="8:8" x14ac:dyDescent="0.4">
      <c r="H723" s="1"/>
    </row>
    <row r="724" spans="8:8" x14ac:dyDescent="0.4">
      <c r="H724" s="1"/>
    </row>
    <row r="725" spans="8:8" x14ac:dyDescent="0.4">
      <c r="H725" s="1"/>
    </row>
    <row r="726" spans="8:8" x14ac:dyDescent="0.4">
      <c r="H726" s="1"/>
    </row>
    <row r="727" spans="8:8" x14ac:dyDescent="0.4">
      <c r="H727" s="1"/>
    </row>
    <row r="728" spans="8:8" x14ac:dyDescent="0.4">
      <c r="H728" s="1"/>
    </row>
    <row r="729" spans="8:8" x14ac:dyDescent="0.4">
      <c r="H729" s="1"/>
    </row>
    <row r="730" spans="8:8" x14ac:dyDescent="0.4">
      <c r="H730" s="1"/>
    </row>
    <row r="731" spans="8:8" x14ac:dyDescent="0.4">
      <c r="H731" s="1"/>
    </row>
    <row r="732" spans="8:8" x14ac:dyDescent="0.4">
      <c r="H732" s="1"/>
    </row>
    <row r="733" spans="8:8" x14ac:dyDescent="0.4">
      <c r="H733" s="1"/>
    </row>
    <row r="734" spans="8:8" x14ac:dyDescent="0.4">
      <c r="H734" s="1"/>
    </row>
    <row r="735" spans="8:8" x14ac:dyDescent="0.4">
      <c r="H735" s="1"/>
    </row>
    <row r="736" spans="8:8" x14ac:dyDescent="0.4">
      <c r="H736" s="1"/>
    </row>
    <row r="737" spans="8:8" x14ac:dyDescent="0.4">
      <c r="H737" s="1"/>
    </row>
    <row r="738" spans="8:8" x14ac:dyDescent="0.4">
      <c r="H738" s="1"/>
    </row>
    <row r="739" spans="8:8" x14ac:dyDescent="0.4">
      <c r="H739" s="1"/>
    </row>
    <row r="740" spans="8:8" x14ac:dyDescent="0.4">
      <c r="H740" s="1"/>
    </row>
    <row r="741" spans="8:8" x14ac:dyDescent="0.4">
      <c r="H741" s="1"/>
    </row>
    <row r="742" spans="8:8" x14ac:dyDescent="0.4">
      <c r="H742" s="1"/>
    </row>
    <row r="743" spans="8:8" x14ac:dyDescent="0.4">
      <c r="H743" s="1"/>
    </row>
    <row r="744" spans="8:8" x14ac:dyDescent="0.4">
      <c r="H744" s="1"/>
    </row>
    <row r="745" spans="8:8" x14ac:dyDescent="0.4">
      <c r="H745" s="1"/>
    </row>
    <row r="746" spans="8:8" x14ac:dyDescent="0.4">
      <c r="H746" s="1"/>
    </row>
    <row r="747" spans="8:8" x14ac:dyDescent="0.4">
      <c r="H747" s="1"/>
    </row>
    <row r="748" spans="8:8" x14ac:dyDescent="0.4">
      <c r="H748" s="1"/>
    </row>
    <row r="749" spans="8:8" x14ac:dyDescent="0.4">
      <c r="H749" s="1"/>
    </row>
    <row r="750" spans="8:8" x14ac:dyDescent="0.4">
      <c r="H750" s="1"/>
    </row>
    <row r="751" spans="8:8" x14ac:dyDescent="0.4">
      <c r="H751" s="1"/>
    </row>
    <row r="752" spans="8:8" x14ac:dyDescent="0.4">
      <c r="H752" s="1"/>
    </row>
    <row r="753" spans="8:8" x14ac:dyDescent="0.4">
      <c r="H753" s="1"/>
    </row>
    <row r="754" spans="8:8" x14ac:dyDescent="0.4">
      <c r="H754" s="1"/>
    </row>
    <row r="755" spans="8:8" x14ac:dyDescent="0.4">
      <c r="H755" s="1"/>
    </row>
    <row r="756" spans="8:8" x14ac:dyDescent="0.4">
      <c r="H756" s="1"/>
    </row>
    <row r="757" spans="8:8" x14ac:dyDescent="0.4">
      <c r="H757" s="1"/>
    </row>
    <row r="758" spans="8:8" x14ac:dyDescent="0.4">
      <c r="H758" s="1"/>
    </row>
    <row r="759" spans="8:8" x14ac:dyDescent="0.4">
      <c r="H759" s="1"/>
    </row>
    <row r="760" spans="8:8" x14ac:dyDescent="0.4">
      <c r="H760" s="1"/>
    </row>
    <row r="761" spans="8:8" x14ac:dyDescent="0.4">
      <c r="H761" s="1"/>
    </row>
    <row r="762" spans="8:8" x14ac:dyDescent="0.4">
      <c r="H762" s="1"/>
    </row>
    <row r="763" spans="8:8" x14ac:dyDescent="0.4">
      <c r="H763" s="1"/>
    </row>
    <row r="764" spans="8:8" x14ac:dyDescent="0.4">
      <c r="H764" s="1"/>
    </row>
    <row r="765" spans="8:8" x14ac:dyDescent="0.4">
      <c r="H765" s="1"/>
    </row>
    <row r="766" spans="8:8" x14ac:dyDescent="0.4">
      <c r="H766" s="1"/>
    </row>
    <row r="767" spans="8:8" x14ac:dyDescent="0.4">
      <c r="H767" s="1"/>
    </row>
    <row r="768" spans="8:8" x14ac:dyDescent="0.4">
      <c r="H768" s="1"/>
    </row>
    <row r="769" spans="8:8" x14ac:dyDescent="0.4">
      <c r="H769" s="1"/>
    </row>
    <row r="770" spans="8:8" x14ac:dyDescent="0.4">
      <c r="H770" s="1"/>
    </row>
    <row r="771" spans="8:8" x14ac:dyDescent="0.4">
      <c r="H771" s="1"/>
    </row>
    <row r="772" spans="8:8" x14ac:dyDescent="0.4">
      <c r="H772" s="1"/>
    </row>
    <row r="773" spans="8:8" x14ac:dyDescent="0.4">
      <c r="H773" s="1"/>
    </row>
    <row r="774" spans="8:8" x14ac:dyDescent="0.4">
      <c r="H774" s="1"/>
    </row>
    <row r="775" spans="8:8" x14ac:dyDescent="0.4">
      <c r="H775" s="1"/>
    </row>
    <row r="776" spans="8:8" x14ac:dyDescent="0.4">
      <c r="H776" s="1"/>
    </row>
    <row r="777" spans="8:8" x14ac:dyDescent="0.4">
      <c r="H777" s="1"/>
    </row>
    <row r="778" spans="8:8" x14ac:dyDescent="0.4">
      <c r="H778" s="1"/>
    </row>
    <row r="779" spans="8:8" x14ac:dyDescent="0.4">
      <c r="H779" s="1"/>
    </row>
    <row r="780" spans="8:8" x14ac:dyDescent="0.4">
      <c r="H780" s="1"/>
    </row>
    <row r="781" spans="8:8" x14ac:dyDescent="0.4">
      <c r="H781" s="1"/>
    </row>
    <row r="782" spans="8:8" x14ac:dyDescent="0.4">
      <c r="H782" s="1"/>
    </row>
    <row r="783" spans="8:8" x14ac:dyDescent="0.4">
      <c r="H783" s="1"/>
    </row>
    <row r="784" spans="8:8" x14ac:dyDescent="0.4">
      <c r="H784" s="1"/>
    </row>
    <row r="785" spans="8:8" x14ac:dyDescent="0.4">
      <c r="H785" s="1"/>
    </row>
    <row r="786" spans="8:8" x14ac:dyDescent="0.4">
      <c r="H786" s="1"/>
    </row>
    <row r="787" spans="8:8" x14ac:dyDescent="0.4">
      <c r="H787" s="1"/>
    </row>
    <row r="788" spans="8:8" x14ac:dyDescent="0.4">
      <c r="H788" s="1"/>
    </row>
    <row r="789" spans="8:8" x14ac:dyDescent="0.4">
      <c r="H789" s="1"/>
    </row>
    <row r="790" spans="8:8" x14ac:dyDescent="0.4">
      <c r="H790" s="1"/>
    </row>
    <row r="791" spans="8:8" x14ac:dyDescent="0.4">
      <c r="H791" s="1"/>
    </row>
    <row r="792" spans="8:8" x14ac:dyDescent="0.4">
      <c r="H792" s="1"/>
    </row>
    <row r="793" spans="8:8" x14ac:dyDescent="0.4">
      <c r="H793" s="1"/>
    </row>
    <row r="794" spans="8:8" x14ac:dyDescent="0.4">
      <c r="H794" s="1"/>
    </row>
    <row r="795" spans="8:8" x14ac:dyDescent="0.4">
      <c r="H795" s="1"/>
    </row>
    <row r="796" spans="8:8" x14ac:dyDescent="0.4">
      <c r="H796" s="1"/>
    </row>
    <row r="797" spans="8:8" x14ac:dyDescent="0.4">
      <c r="H797" s="1"/>
    </row>
    <row r="798" spans="8:8" x14ac:dyDescent="0.4">
      <c r="H798" s="1"/>
    </row>
    <row r="799" spans="8:8" x14ac:dyDescent="0.4">
      <c r="H799" s="1"/>
    </row>
    <row r="800" spans="8:8" x14ac:dyDescent="0.4">
      <c r="H800" s="1"/>
    </row>
    <row r="801" spans="8:8" x14ac:dyDescent="0.4">
      <c r="H801" s="1"/>
    </row>
    <row r="802" spans="8:8" x14ac:dyDescent="0.4">
      <c r="H802" s="1"/>
    </row>
    <row r="803" spans="8:8" x14ac:dyDescent="0.4">
      <c r="H803" s="1"/>
    </row>
    <row r="804" spans="8:8" x14ac:dyDescent="0.4">
      <c r="H804" s="1"/>
    </row>
    <row r="805" spans="8:8" x14ac:dyDescent="0.4">
      <c r="H805" s="1"/>
    </row>
    <row r="806" spans="8:8" x14ac:dyDescent="0.4">
      <c r="H806" s="1"/>
    </row>
    <row r="807" spans="8:8" x14ac:dyDescent="0.4">
      <c r="H807" s="1"/>
    </row>
    <row r="808" spans="8:8" x14ac:dyDescent="0.4">
      <c r="H808" s="1"/>
    </row>
    <row r="809" spans="8:8" x14ac:dyDescent="0.4">
      <c r="H809" s="1"/>
    </row>
    <row r="810" spans="8:8" x14ac:dyDescent="0.4">
      <c r="H810" s="1"/>
    </row>
    <row r="811" spans="8:8" x14ac:dyDescent="0.4">
      <c r="H811" s="1"/>
    </row>
    <row r="812" spans="8:8" x14ac:dyDescent="0.4">
      <c r="H812" s="1"/>
    </row>
    <row r="813" spans="8:8" x14ac:dyDescent="0.4">
      <c r="H813" s="1"/>
    </row>
    <row r="814" spans="8:8" x14ac:dyDescent="0.4">
      <c r="H814" s="1"/>
    </row>
    <row r="815" spans="8:8" x14ac:dyDescent="0.4">
      <c r="H815" s="1"/>
    </row>
    <row r="816" spans="8:8" x14ac:dyDescent="0.4">
      <c r="H816" s="1"/>
    </row>
    <row r="817" spans="8:8" x14ac:dyDescent="0.4">
      <c r="H817" s="1"/>
    </row>
    <row r="818" spans="8:8" x14ac:dyDescent="0.4">
      <c r="H818" s="1"/>
    </row>
    <row r="819" spans="8:8" x14ac:dyDescent="0.4">
      <c r="H819" s="1"/>
    </row>
    <row r="820" spans="8:8" x14ac:dyDescent="0.4">
      <c r="H820" s="1"/>
    </row>
    <row r="821" spans="8:8" x14ac:dyDescent="0.4">
      <c r="H821" s="1"/>
    </row>
    <row r="822" spans="8:8" x14ac:dyDescent="0.4">
      <c r="H822" s="1"/>
    </row>
    <row r="823" spans="8:8" x14ac:dyDescent="0.4">
      <c r="H823" s="1"/>
    </row>
    <row r="824" spans="8:8" x14ac:dyDescent="0.4">
      <c r="H824" s="1"/>
    </row>
    <row r="825" spans="8:8" x14ac:dyDescent="0.4">
      <c r="H825" s="1"/>
    </row>
    <row r="826" spans="8:8" x14ac:dyDescent="0.4">
      <c r="H826" s="1"/>
    </row>
    <row r="827" spans="8:8" x14ac:dyDescent="0.4">
      <c r="H827" s="1"/>
    </row>
    <row r="828" spans="8:8" x14ac:dyDescent="0.4">
      <c r="H828" s="1"/>
    </row>
    <row r="829" spans="8:8" x14ac:dyDescent="0.4">
      <c r="H829" s="1"/>
    </row>
    <row r="830" spans="8:8" x14ac:dyDescent="0.4">
      <c r="H830" s="1"/>
    </row>
    <row r="831" spans="8:8" x14ac:dyDescent="0.4">
      <c r="H831" s="1"/>
    </row>
    <row r="832" spans="8:8" x14ac:dyDescent="0.4">
      <c r="H832" s="1"/>
    </row>
    <row r="833" spans="8:8" x14ac:dyDescent="0.4">
      <c r="H833" s="1"/>
    </row>
    <row r="834" spans="8:8" x14ac:dyDescent="0.4">
      <c r="H834" s="1"/>
    </row>
    <row r="835" spans="8:8" x14ac:dyDescent="0.4">
      <c r="H835" s="1"/>
    </row>
    <row r="836" spans="8:8" x14ac:dyDescent="0.4">
      <c r="H836" s="1"/>
    </row>
    <row r="837" spans="8:8" x14ac:dyDescent="0.4">
      <c r="H837" s="1"/>
    </row>
    <row r="838" spans="8:8" x14ac:dyDescent="0.4">
      <c r="H838" s="1"/>
    </row>
    <row r="839" spans="8:8" x14ac:dyDescent="0.4">
      <c r="H839" s="1"/>
    </row>
    <row r="840" spans="8:8" x14ac:dyDescent="0.4">
      <c r="H840" s="1"/>
    </row>
    <row r="841" spans="8:8" x14ac:dyDescent="0.4">
      <c r="H841" s="1"/>
    </row>
    <row r="842" spans="8:8" x14ac:dyDescent="0.4">
      <c r="H842" s="1"/>
    </row>
    <row r="843" spans="8:8" x14ac:dyDescent="0.4">
      <c r="H843" s="1"/>
    </row>
    <row r="844" spans="8:8" x14ac:dyDescent="0.4">
      <c r="H844" s="1"/>
    </row>
    <row r="845" spans="8:8" x14ac:dyDescent="0.4">
      <c r="H845" s="1"/>
    </row>
    <row r="846" spans="8:8" x14ac:dyDescent="0.4">
      <c r="H846" s="1"/>
    </row>
    <row r="847" spans="8:8" x14ac:dyDescent="0.4">
      <c r="H847" s="1"/>
    </row>
    <row r="848" spans="8:8" x14ac:dyDescent="0.4">
      <c r="H848" s="1"/>
    </row>
    <row r="849" spans="8:8" x14ac:dyDescent="0.4">
      <c r="H849" s="1"/>
    </row>
    <row r="850" spans="8:8" x14ac:dyDescent="0.4">
      <c r="H850" s="1"/>
    </row>
    <row r="851" spans="8:8" x14ac:dyDescent="0.4">
      <c r="H851" s="1"/>
    </row>
    <row r="852" spans="8:8" x14ac:dyDescent="0.4">
      <c r="H852" s="1"/>
    </row>
    <row r="853" spans="8:8" x14ac:dyDescent="0.4">
      <c r="H853" s="1"/>
    </row>
    <row r="854" spans="8:8" x14ac:dyDescent="0.4">
      <c r="H854" s="1"/>
    </row>
    <row r="855" spans="8:8" x14ac:dyDescent="0.4">
      <c r="H855" s="1"/>
    </row>
    <row r="856" spans="8:8" x14ac:dyDescent="0.4">
      <c r="H856" s="1"/>
    </row>
    <row r="857" spans="8:8" x14ac:dyDescent="0.4">
      <c r="H857" s="1"/>
    </row>
    <row r="858" spans="8:8" x14ac:dyDescent="0.4">
      <c r="H858" s="1"/>
    </row>
    <row r="859" spans="8:8" x14ac:dyDescent="0.4">
      <c r="H859" s="1"/>
    </row>
    <row r="860" spans="8:8" x14ac:dyDescent="0.4">
      <c r="H860" s="1"/>
    </row>
    <row r="861" spans="8:8" x14ac:dyDescent="0.4">
      <c r="H861" s="1"/>
    </row>
    <row r="862" spans="8:8" x14ac:dyDescent="0.4">
      <c r="H862" s="1"/>
    </row>
    <row r="863" spans="8:8" x14ac:dyDescent="0.4">
      <c r="H863" s="1"/>
    </row>
    <row r="864" spans="8:8" x14ac:dyDescent="0.4">
      <c r="H864" s="1"/>
    </row>
    <row r="865" spans="8:8" x14ac:dyDescent="0.4">
      <c r="H865" s="1"/>
    </row>
    <row r="866" spans="8:8" x14ac:dyDescent="0.4">
      <c r="H866" s="1"/>
    </row>
    <row r="867" spans="8:8" x14ac:dyDescent="0.4">
      <c r="H867" s="1"/>
    </row>
    <row r="868" spans="8:8" x14ac:dyDescent="0.4">
      <c r="H868" s="1"/>
    </row>
    <row r="869" spans="8:8" x14ac:dyDescent="0.4">
      <c r="H869" s="1"/>
    </row>
    <row r="870" spans="8:8" x14ac:dyDescent="0.4">
      <c r="H870" s="1"/>
    </row>
    <row r="871" spans="8:8" x14ac:dyDescent="0.4">
      <c r="H871" s="1"/>
    </row>
    <row r="872" spans="8:8" x14ac:dyDescent="0.4">
      <c r="H872" s="1"/>
    </row>
    <row r="873" spans="8:8" x14ac:dyDescent="0.4">
      <c r="H873" s="1"/>
    </row>
    <row r="874" spans="8:8" x14ac:dyDescent="0.4">
      <c r="H874" s="1"/>
    </row>
    <row r="875" spans="8:8" x14ac:dyDescent="0.4">
      <c r="H875" s="1"/>
    </row>
    <row r="876" spans="8:8" x14ac:dyDescent="0.4">
      <c r="H876" s="1"/>
    </row>
    <row r="877" spans="8:8" x14ac:dyDescent="0.4">
      <c r="H877" s="1"/>
    </row>
    <row r="878" spans="8:8" x14ac:dyDescent="0.4">
      <c r="H878" s="1"/>
    </row>
    <row r="879" spans="8:8" x14ac:dyDescent="0.4">
      <c r="H879" s="1"/>
    </row>
    <row r="880" spans="8:8" x14ac:dyDescent="0.4">
      <c r="H880" s="1"/>
    </row>
    <row r="881" spans="8:8" x14ac:dyDescent="0.4">
      <c r="H881" s="1"/>
    </row>
    <row r="882" spans="8:8" x14ac:dyDescent="0.4">
      <c r="H882" s="1"/>
    </row>
    <row r="883" spans="8:8" x14ac:dyDescent="0.4">
      <c r="H883" s="1"/>
    </row>
    <row r="884" spans="8:8" x14ac:dyDescent="0.4">
      <c r="H884" s="1"/>
    </row>
    <row r="885" spans="8:8" x14ac:dyDescent="0.4">
      <c r="H885" s="1"/>
    </row>
    <row r="886" spans="8:8" x14ac:dyDescent="0.4">
      <c r="H886" s="1"/>
    </row>
    <row r="887" spans="8:8" x14ac:dyDescent="0.4">
      <c r="H887" s="1"/>
    </row>
    <row r="888" spans="8:8" x14ac:dyDescent="0.4">
      <c r="H888" s="1"/>
    </row>
    <row r="889" spans="8:8" x14ac:dyDescent="0.4">
      <c r="H889" s="1"/>
    </row>
    <row r="890" spans="8:8" x14ac:dyDescent="0.4">
      <c r="H890" s="1"/>
    </row>
    <row r="891" spans="8:8" x14ac:dyDescent="0.4">
      <c r="H891" s="1"/>
    </row>
    <row r="892" spans="8:8" x14ac:dyDescent="0.4">
      <c r="H892" s="1"/>
    </row>
    <row r="893" spans="8:8" x14ac:dyDescent="0.4">
      <c r="H893" s="1"/>
    </row>
    <row r="894" spans="8:8" x14ac:dyDescent="0.4">
      <c r="H894" s="1"/>
    </row>
    <row r="895" spans="8:8" x14ac:dyDescent="0.4">
      <c r="H895" s="1"/>
    </row>
    <row r="896" spans="8:8" x14ac:dyDescent="0.4">
      <c r="H896" s="1"/>
    </row>
    <row r="897" spans="8:8" x14ac:dyDescent="0.4">
      <c r="H897" s="1"/>
    </row>
    <row r="898" spans="8:8" x14ac:dyDescent="0.4">
      <c r="H898" s="1"/>
    </row>
    <row r="899" spans="8:8" x14ac:dyDescent="0.4">
      <c r="H899" s="1"/>
    </row>
    <row r="900" spans="8:8" x14ac:dyDescent="0.4">
      <c r="H900" s="1"/>
    </row>
    <row r="901" spans="8:8" x14ac:dyDescent="0.4">
      <c r="H901" s="1"/>
    </row>
    <row r="902" spans="8:8" x14ac:dyDescent="0.4">
      <c r="H902" s="1"/>
    </row>
    <row r="903" spans="8:8" x14ac:dyDescent="0.4">
      <c r="H903" s="1"/>
    </row>
    <row r="904" spans="8:8" x14ac:dyDescent="0.4">
      <c r="H904" s="1"/>
    </row>
    <row r="905" spans="8:8" x14ac:dyDescent="0.4">
      <c r="H905" s="1"/>
    </row>
    <row r="906" spans="8:8" x14ac:dyDescent="0.4">
      <c r="H906" s="1"/>
    </row>
    <row r="907" spans="8:8" x14ac:dyDescent="0.4">
      <c r="H907" s="1"/>
    </row>
    <row r="908" spans="8:8" x14ac:dyDescent="0.4">
      <c r="H908" s="1"/>
    </row>
    <row r="909" spans="8:8" x14ac:dyDescent="0.4">
      <c r="H909" s="1"/>
    </row>
    <row r="910" spans="8:8" x14ac:dyDescent="0.4">
      <c r="H910" s="1"/>
    </row>
    <row r="911" spans="8:8" x14ac:dyDescent="0.4">
      <c r="H911" s="1"/>
    </row>
    <row r="912" spans="8:8" x14ac:dyDescent="0.4">
      <c r="H912" s="1"/>
    </row>
    <row r="913" spans="8:8" x14ac:dyDescent="0.4">
      <c r="H913" s="1"/>
    </row>
    <row r="914" spans="8:8" x14ac:dyDescent="0.4">
      <c r="H914" s="1"/>
    </row>
    <row r="915" spans="8:8" x14ac:dyDescent="0.4">
      <c r="H915" s="1"/>
    </row>
    <row r="916" spans="8:8" x14ac:dyDescent="0.4">
      <c r="H916" s="1"/>
    </row>
    <row r="917" spans="8:8" x14ac:dyDescent="0.4">
      <c r="H917" s="1"/>
    </row>
    <row r="918" spans="8:8" x14ac:dyDescent="0.4">
      <c r="H918" s="1"/>
    </row>
    <row r="919" spans="8:8" x14ac:dyDescent="0.4">
      <c r="H919" s="1"/>
    </row>
    <row r="920" spans="8:8" x14ac:dyDescent="0.4">
      <c r="H920" s="1"/>
    </row>
    <row r="921" spans="8:8" x14ac:dyDescent="0.4">
      <c r="H921" s="1"/>
    </row>
    <row r="922" spans="8:8" x14ac:dyDescent="0.4">
      <c r="H922" s="1"/>
    </row>
    <row r="923" spans="8:8" x14ac:dyDescent="0.4">
      <c r="H923" s="1"/>
    </row>
    <row r="924" spans="8:8" x14ac:dyDescent="0.4">
      <c r="H924" s="1"/>
    </row>
    <row r="925" spans="8:8" x14ac:dyDescent="0.4">
      <c r="H925" s="1"/>
    </row>
    <row r="926" spans="8:8" x14ac:dyDescent="0.4">
      <c r="H926" s="1"/>
    </row>
    <row r="927" spans="8:8" x14ac:dyDescent="0.4">
      <c r="H927" s="1"/>
    </row>
    <row r="928" spans="8:8" x14ac:dyDescent="0.4">
      <c r="H928" s="1"/>
    </row>
    <row r="929" spans="8:8" x14ac:dyDescent="0.4">
      <c r="H929" s="1"/>
    </row>
    <row r="930" spans="8:8" x14ac:dyDescent="0.4">
      <c r="H930" s="1"/>
    </row>
    <row r="931" spans="8:8" x14ac:dyDescent="0.4">
      <c r="H931" s="1"/>
    </row>
    <row r="932" spans="8:8" x14ac:dyDescent="0.4">
      <c r="H932" s="1"/>
    </row>
    <row r="933" spans="8:8" x14ac:dyDescent="0.4">
      <c r="H933" s="1"/>
    </row>
    <row r="934" spans="8:8" x14ac:dyDescent="0.4">
      <c r="H934" s="1"/>
    </row>
    <row r="935" spans="8:8" x14ac:dyDescent="0.4">
      <c r="H935" s="1"/>
    </row>
    <row r="936" spans="8:8" x14ac:dyDescent="0.4">
      <c r="H936" s="1"/>
    </row>
    <row r="937" spans="8:8" x14ac:dyDescent="0.4">
      <c r="H937" s="1"/>
    </row>
    <row r="938" spans="8:8" x14ac:dyDescent="0.4">
      <c r="H938" s="1"/>
    </row>
    <row r="939" spans="8:8" x14ac:dyDescent="0.4">
      <c r="H939" s="1"/>
    </row>
    <row r="940" spans="8:8" x14ac:dyDescent="0.4">
      <c r="H940" s="1"/>
    </row>
    <row r="941" spans="8:8" x14ac:dyDescent="0.4">
      <c r="H941" s="1"/>
    </row>
    <row r="942" spans="8:8" x14ac:dyDescent="0.4">
      <c r="H942" s="1"/>
    </row>
    <row r="943" spans="8:8" x14ac:dyDescent="0.4">
      <c r="H943" s="1"/>
    </row>
    <row r="944" spans="8:8" x14ac:dyDescent="0.4">
      <c r="H944" s="1"/>
    </row>
    <row r="945" spans="8:8" x14ac:dyDescent="0.4">
      <c r="H945" s="1"/>
    </row>
    <row r="946" spans="8:8" x14ac:dyDescent="0.4">
      <c r="H946" s="1"/>
    </row>
    <row r="947" spans="8:8" x14ac:dyDescent="0.4">
      <c r="H947" s="1"/>
    </row>
    <row r="948" spans="8:8" x14ac:dyDescent="0.4">
      <c r="H948" s="1"/>
    </row>
    <row r="949" spans="8:8" x14ac:dyDescent="0.4">
      <c r="H949" s="1"/>
    </row>
    <row r="950" spans="8:8" x14ac:dyDescent="0.4">
      <c r="H950" s="1"/>
    </row>
    <row r="951" spans="8:8" x14ac:dyDescent="0.4">
      <c r="H951" s="1"/>
    </row>
    <row r="952" spans="8:8" x14ac:dyDescent="0.4">
      <c r="H952" s="1"/>
    </row>
    <row r="953" spans="8:8" x14ac:dyDescent="0.4">
      <c r="H953" s="1"/>
    </row>
    <row r="954" spans="8:8" x14ac:dyDescent="0.4">
      <c r="H954" s="1"/>
    </row>
    <row r="955" spans="8:8" x14ac:dyDescent="0.4">
      <c r="H955" s="1"/>
    </row>
    <row r="956" spans="8:8" x14ac:dyDescent="0.4">
      <c r="H956" s="1"/>
    </row>
    <row r="957" spans="8:8" x14ac:dyDescent="0.4">
      <c r="H957" s="1"/>
    </row>
    <row r="958" spans="8:8" x14ac:dyDescent="0.4">
      <c r="H958" s="1"/>
    </row>
    <row r="959" spans="8:8" x14ac:dyDescent="0.4">
      <c r="H959" s="1"/>
    </row>
    <row r="960" spans="8:8" x14ac:dyDescent="0.4">
      <c r="H960" s="1"/>
    </row>
    <row r="961" spans="8:8" x14ac:dyDescent="0.4">
      <c r="H961" s="1"/>
    </row>
    <row r="962" spans="8:8" x14ac:dyDescent="0.4">
      <c r="H962" s="1"/>
    </row>
    <row r="963" spans="8:8" x14ac:dyDescent="0.4">
      <c r="H963" s="1"/>
    </row>
    <row r="964" spans="8:8" x14ac:dyDescent="0.4">
      <c r="H964" s="1"/>
    </row>
    <row r="965" spans="8:8" x14ac:dyDescent="0.4">
      <c r="H965" s="1"/>
    </row>
    <row r="966" spans="8:8" x14ac:dyDescent="0.4">
      <c r="H966" s="1"/>
    </row>
    <row r="967" spans="8:8" x14ac:dyDescent="0.4">
      <c r="H967" s="1"/>
    </row>
    <row r="968" spans="8:8" x14ac:dyDescent="0.4">
      <c r="H968" s="1"/>
    </row>
    <row r="969" spans="8:8" x14ac:dyDescent="0.4">
      <c r="H969" s="1"/>
    </row>
    <row r="970" spans="8:8" x14ac:dyDescent="0.4">
      <c r="H970" s="1"/>
    </row>
    <row r="971" spans="8:8" x14ac:dyDescent="0.4">
      <c r="H971" s="1"/>
    </row>
    <row r="972" spans="8:8" x14ac:dyDescent="0.4">
      <c r="H972" s="1"/>
    </row>
    <row r="973" spans="8:8" x14ac:dyDescent="0.4">
      <c r="H973" s="1"/>
    </row>
    <row r="974" spans="8:8" x14ac:dyDescent="0.4">
      <c r="H974" s="1"/>
    </row>
    <row r="975" spans="8:8" x14ac:dyDescent="0.4">
      <c r="H975" s="1"/>
    </row>
    <row r="976" spans="8:8" x14ac:dyDescent="0.4">
      <c r="H976" s="1"/>
    </row>
    <row r="977" spans="8:8" x14ac:dyDescent="0.4">
      <c r="H977" s="1"/>
    </row>
    <row r="978" spans="8:8" x14ac:dyDescent="0.4">
      <c r="H978" s="1"/>
    </row>
    <row r="979" spans="8:8" x14ac:dyDescent="0.4">
      <c r="H979" s="1"/>
    </row>
    <row r="980" spans="8:8" x14ac:dyDescent="0.4">
      <c r="H980" s="1"/>
    </row>
    <row r="981" spans="8:8" x14ac:dyDescent="0.4">
      <c r="H981" s="1"/>
    </row>
    <row r="982" spans="8:8" x14ac:dyDescent="0.4">
      <c r="H982" s="1"/>
    </row>
    <row r="983" spans="8:8" x14ac:dyDescent="0.4">
      <c r="H983" s="1"/>
    </row>
    <row r="984" spans="8:8" x14ac:dyDescent="0.4">
      <c r="H984" s="1"/>
    </row>
    <row r="985" spans="8:8" x14ac:dyDescent="0.4">
      <c r="H985" s="1"/>
    </row>
    <row r="986" spans="8:8" x14ac:dyDescent="0.4">
      <c r="H986" s="1"/>
    </row>
    <row r="987" spans="8:8" x14ac:dyDescent="0.4">
      <c r="H987" s="1"/>
    </row>
    <row r="988" spans="8:8" x14ac:dyDescent="0.4">
      <c r="H988" s="1"/>
    </row>
    <row r="989" spans="8:8" x14ac:dyDescent="0.4">
      <c r="H989" s="1"/>
    </row>
    <row r="990" spans="8:8" x14ac:dyDescent="0.4">
      <c r="H990" s="1"/>
    </row>
    <row r="991" spans="8:8" x14ac:dyDescent="0.4">
      <c r="H991" s="1"/>
    </row>
    <row r="992" spans="8:8" x14ac:dyDescent="0.4">
      <c r="H992" s="1"/>
    </row>
    <row r="993" spans="8:8" x14ac:dyDescent="0.4">
      <c r="H993" s="1"/>
    </row>
    <row r="994" spans="8:8" x14ac:dyDescent="0.4">
      <c r="H994" s="1"/>
    </row>
    <row r="995" spans="8:8" x14ac:dyDescent="0.4">
      <c r="H995" s="1"/>
    </row>
    <row r="996" spans="8:8" x14ac:dyDescent="0.4">
      <c r="H996" s="1"/>
    </row>
    <row r="997" spans="8:8" x14ac:dyDescent="0.4">
      <c r="H997" s="1"/>
    </row>
    <row r="998" spans="8:8" x14ac:dyDescent="0.4">
      <c r="H998" s="1"/>
    </row>
    <row r="999" spans="8:8" x14ac:dyDescent="0.4">
      <c r="H999" s="1"/>
    </row>
    <row r="1000" spans="8:8" x14ac:dyDescent="0.4">
      <c r="H1000" s="1"/>
    </row>
    <row r="1001" spans="8:8" x14ac:dyDescent="0.4">
      <c r="H1001" s="1"/>
    </row>
    <row r="1002" spans="8:8" x14ac:dyDescent="0.4">
      <c r="H1002" s="1"/>
    </row>
    <row r="1003" spans="8:8" x14ac:dyDescent="0.4">
      <c r="H1003" s="1"/>
    </row>
    <row r="1004" spans="8:8" x14ac:dyDescent="0.4">
      <c r="H1004" s="1"/>
    </row>
    <row r="1005" spans="8:8" x14ac:dyDescent="0.4">
      <c r="H1005" s="1"/>
    </row>
    <row r="1006" spans="8:8" x14ac:dyDescent="0.4">
      <c r="H1006" s="1"/>
    </row>
    <row r="1007" spans="8:8" x14ac:dyDescent="0.4">
      <c r="H1007" s="1"/>
    </row>
    <row r="1008" spans="8:8" x14ac:dyDescent="0.4">
      <c r="H1008" s="1"/>
    </row>
    <row r="1009" spans="8:8" x14ac:dyDescent="0.4">
      <c r="H1009" s="1"/>
    </row>
    <row r="1010" spans="8:8" x14ac:dyDescent="0.4">
      <c r="H1010" s="1"/>
    </row>
    <row r="1011" spans="8:8" x14ac:dyDescent="0.4">
      <c r="H1011" s="1"/>
    </row>
    <row r="1012" spans="8:8" x14ac:dyDescent="0.4">
      <c r="H1012" s="1"/>
    </row>
    <row r="1013" spans="8:8" x14ac:dyDescent="0.4">
      <c r="H1013" s="1"/>
    </row>
    <row r="1014" spans="8:8" x14ac:dyDescent="0.4">
      <c r="H1014" s="1"/>
    </row>
    <row r="1015" spans="8:8" x14ac:dyDescent="0.4">
      <c r="H1015" s="1"/>
    </row>
    <row r="1016" spans="8:8" x14ac:dyDescent="0.4">
      <c r="H1016" s="1"/>
    </row>
    <row r="1017" spans="8:8" x14ac:dyDescent="0.4">
      <c r="H1017" s="1"/>
    </row>
    <row r="1018" spans="8:8" x14ac:dyDescent="0.4">
      <c r="H1018" s="1"/>
    </row>
    <row r="1019" spans="8:8" x14ac:dyDescent="0.4">
      <c r="H1019" s="1"/>
    </row>
    <row r="1020" spans="8:8" x14ac:dyDescent="0.4">
      <c r="H1020" s="1"/>
    </row>
    <row r="1021" spans="8:8" x14ac:dyDescent="0.4">
      <c r="H1021" s="1"/>
    </row>
    <row r="1022" spans="8:8" x14ac:dyDescent="0.4">
      <c r="H1022" s="1"/>
    </row>
    <row r="1023" spans="8:8" x14ac:dyDescent="0.4">
      <c r="H1023" s="1"/>
    </row>
    <row r="1024" spans="8:8" x14ac:dyDescent="0.4">
      <c r="H1024" s="1"/>
    </row>
    <row r="1025" spans="8:8" x14ac:dyDescent="0.4">
      <c r="H1025" s="1"/>
    </row>
    <row r="1026" spans="8:8" x14ac:dyDescent="0.4">
      <c r="H1026" s="1"/>
    </row>
    <row r="1027" spans="8:8" x14ac:dyDescent="0.4">
      <c r="H1027" s="1"/>
    </row>
    <row r="1028" spans="8:8" x14ac:dyDescent="0.4">
      <c r="H1028" s="1"/>
    </row>
    <row r="1029" spans="8:8" x14ac:dyDescent="0.4">
      <c r="H1029" s="1"/>
    </row>
    <row r="1030" spans="8:8" x14ac:dyDescent="0.4">
      <c r="H1030" s="1"/>
    </row>
    <row r="1031" spans="8:8" x14ac:dyDescent="0.4">
      <c r="H1031" s="1"/>
    </row>
    <row r="1032" spans="8:8" x14ac:dyDescent="0.4">
      <c r="H1032" s="1"/>
    </row>
    <row r="1033" spans="8:8" x14ac:dyDescent="0.4">
      <c r="H1033" s="1"/>
    </row>
    <row r="1034" spans="8:8" x14ac:dyDescent="0.4">
      <c r="H1034" s="1"/>
    </row>
    <row r="1035" spans="8:8" x14ac:dyDescent="0.4">
      <c r="H1035" s="1"/>
    </row>
    <row r="1036" spans="8:8" x14ac:dyDescent="0.4">
      <c r="H1036" s="1"/>
    </row>
    <row r="1037" spans="8:8" x14ac:dyDescent="0.4">
      <c r="H1037" s="1"/>
    </row>
    <row r="1038" spans="8:8" x14ac:dyDescent="0.4">
      <c r="H1038" s="1"/>
    </row>
    <row r="1039" spans="8:8" x14ac:dyDescent="0.4">
      <c r="H1039" s="1"/>
    </row>
    <row r="1040" spans="8:8" x14ac:dyDescent="0.4">
      <c r="H1040" s="1"/>
    </row>
    <row r="1041" spans="8:8" x14ac:dyDescent="0.4">
      <c r="H1041" s="1"/>
    </row>
    <row r="1042" spans="8:8" x14ac:dyDescent="0.4">
      <c r="H1042" s="1"/>
    </row>
    <row r="1043" spans="8:8" x14ac:dyDescent="0.4">
      <c r="H1043" s="1"/>
    </row>
    <row r="1044" spans="8:8" x14ac:dyDescent="0.4">
      <c r="H1044" s="1"/>
    </row>
    <row r="1045" spans="8:8" x14ac:dyDescent="0.4">
      <c r="H1045" s="1"/>
    </row>
    <row r="1046" spans="8:8" x14ac:dyDescent="0.4">
      <c r="H1046" s="1"/>
    </row>
    <row r="1047" spans="8:8" x14ac:dyDescent="0.4">
      <c r="H1047" s="1"/>
    </row>
    <row r="1048" spans="8:8" x14ac:dyDescent="0.4">
      <c r="H1048" s="1"/>
    </row>
    <row r="1049" spans="8:8" x14ac:dyDescent="0.4">
      <c r="H1049" s="1"/>
    </row>
    <row r="1050" spans="8:8" x14ac:dyDescent="0.4">
      <c r="H1050" s="1"/>
    </row>
    <row r="1051" spans="8:8" x14ac:dyDescent="0.4">
      <c r="H1051" s="1"/>
    </row>
    <row r="1052" spans="8:8" x14ac:dyDescent="0.4">
      <c r="H1052" s="1"/>
    </row>
    <row r="1053" spans="8:8" x14ac:dyDescent="0.4">
      <c r="H1053" s="1"/>
    </row>
    <row r="1054" spans="8:8" x14ac:dyDescent="0.4">
      <c r="H1054" s="1"/>
    </row>
    <row r="1055" spans="8:8" x14ac:dyDescent="0.4">
      <c r="H1055" s="1"/>
    </row>
    <row r="1056" spans="8:8" x14ac:dyDescent="0.4">
      <c r="H1056" s="1"/>
    </row>
    <row r="1057" spans="8:8" x14ac:dyDescent="0.4">
      <c r="H1057" s="1"/>
    </row>
    <row r="1058" spans="8:8" x14ac:dyDescent="0.4">
      <c r="H1058" s="1"/>
    </row>
    <row r="1059" spans="8:8" x14ac:dyDescent="0.4">
      <c r="H1059" s="1"/>
    </row>
    <row r="1060" spans="8:8" x14ac:dyDescent="0.4">
      <c r="H1060" s="1"/>
    </row>
    <row r="1061" spans="8:8" x14ac:dyDescent="0.4">
      <c r="H1061" s="1"/>
    </row>
    <row r="1062" spans="8:8" x14ac:dyDescent="0.4">
      <c r="H1062" s="1"/>
    </row>
    <row r="1063" spans="8:8" x14ac:dyDescent="0.4">
      <c r="H1063" s="1"/>
    </row>
    <row r="1064" spans="8:8" x14ac:dyDescent="0.4">
      <c r="H1064" s="1"/>
    </row>
    <row r="1065" spans="8:8" x14ac:dyDescent="0.4">
      <c r="H1065" s="1"/>
    </row>
    <row r="1066" spans="8:8" x14ac:dyDescent="0.4">
      <c r="H1066" s="1"/>
    </row>
    <row r="1067" spans="8:8" x14ac:dyDescent="0.4">
      <c r="H1067" s="1"/>
    </row>
    <row r="1068" spans="8:8" x14ac:dyDescent="0.4">
      <c r="H1068" s="1"/>
    </row>
    <row r="1069" spans="8:8" x14ac:dyDescent="0.4">
      <c r="H1069" s="1"/>
    </row>
    <row r="1070" spans="8:8" x14ac:dyDescent="0.4">
      <c r="H1070" s="1"/>
    </row>
    <row r="1071" spans="8:8" x14ac:dyDescent="0.4">
      <c r="H1071" s="1"/>
    </row>
    <row r="1072" spans="8:8" x14ac:dyDescent="0.4">
      <c r="H1072" s="1"/>
    </row>
    <row r="1073" spans="8:8" x14ac:dyDescent="0.4">
      <c r="H1073" s="1"/>
    </row>
    <row r="1074" spans="8:8" x14ac:dyDescent="0.4">
      <c r="H1074" s="1"/>
    </row>
    <row r="1075" spans="8:8" x14ac:dyDescent="0.4">
      <c r="H1075" s="1"/>
    </row>
    <row r="1076" spans="8:8" x14ac:dyDescent="0.4">
      <c r="H1076" s="1"/>
    </row>
    <row r="1077" spans="8:8" x14ac:dyDescent="0.4">
      <c r="H1077" s="1"/>
    </row>
    <row r="1078" spans="8:8" x14ac:dyDescent="0.4">
      <c r="H1078" s="1"/>
    </row>
    <row r="1079" spans="8:8" x14ac:dyDescent="0.4">
      <c r="H1079" s="1"/>
    </row>
    <row r="1080" spans="8:8" x14ac:dyDescent="0.4">
      <c r="H1080" s="1"/>
    </row>
    <row r="1081" spans="8:8" x14ac:dyDescent="0.4">
      <c r="H1081" s="1"/>
    </row>
    <row r="1082" spans="8:8" x14ac:dyDescent="0.4">
      <c r="H1082" s="1"/>
    </row>
    <row r="1083" spans="8:8" x14ac:dyDescent="0.4">
      <c r="H1083" s="1"/>
    </row>
    <row r="1084" spans="8:8" x14ac:dyDescent="0.4">
      <c r="H1084" s="1"/>
    </row>
    <row r="1085" spans="8:8" x14ac:dyDescent="0.4">
      <c r="H1085" s="1"/>
    </row>
    <row r="1086" spans="8:8" x14ac:dyDescent="0.4">
      <c r="H1086" s="1"/>
    </row>
    <row r="1087" spans="8:8" x14ac:dyDescent="0.4">
      <c r="H1087" s="1"/>
    </row>
    <row r="1088" spans="8:8" x14ac:dyDescent="0.4">
      <c r="H1088" s="1"/>
    </row>
    <row r="1089" spans="8:8" x14ac:dyDescent="0.4">
      <c r="H1089" s="1"/>
    </row>
    <row r="1090" spans="8:8" x14ac:dyDescent="0.4">
      <c r="H1090" s="1"/>
    </row>
    <row r="1091" spans="8:8" x14ac:dyDescent="0.4">
      <c r="H1091" s="1"/>
    </row>
    <row r="1092" spans="8:8" x14ac:dyDescent="0.4">
      <c r="H1092" s="1"/>
    </row>
    <row r="1093" spans="8:8" x14ac:dyDescent="0.4">
      <c r="H1093" s="1"/>
    </row>
    <row r="1094" spans="8:8" x14ac:dyDescent="0.4">
      <c r="H1094" s="1"/>
    </row>
    <row r="1095" spans="8:8" x14ac:dyDescent="0.4">
      <c r="H1095" s="1"/>
    </row>
    <row r="1096" spans="8:8" x14ac:dyDescent="0.4">
      <c r="H1096" s="1"/>
    </row>
    <row r="1097" spans="8:8" x14ac:dyDescent="0.4">
      <c r="H1097" s="1"/>
    </row>
    <row r="1098" spans="8:8" x14ac:dyDescent="0.4">
      <c r="H1098" s="1"/>
    </row>
    <row r="1099" spans="8:8" x14ac:dyDescent="0.4">
      <c r="H1099" s="1"/>
    </row>
    <row r="1100" spans="8:8" x14ac:dyDescent="0.4">
      <c r="H1100" s="1"/>
    </row>
    <row r="1101" spans="8:8" x14ac:dyDescent="0.4">
      <c r="H1101" s="1"/>
    </row>
    <row r="1102" spans="8:8" x14ac:dyDescent="0.4">
      <c r="H1102" s="1"/>
    </row>
    <row r="1103" spans="8:8" x14ac:dyDescent="0.4">
      <c r="H1103" s="1"/>
    </row>
    <row r="1104" spans="8:8" x14ac:dyDescent="0.4">
      <c r="H1104" s="1"/>
    </row>
    <row r="1105" spans="8:8" x14ac:dyDescent="0.4">
      <c r="H1105" s="1"/>
    </row>
    <row r="1106" spans="8:8" x14ac:dyDescent="0.4">
      <c r="H1106" s="1"/>
    </row>
    <row r="1107" spans="8:8" x14ac:dyDescent="0.4">
      <c r="H1107" s="1"/>
    </row>
    <row r="1108" spans="8:8" x14ac:dyDescent="0.4">
      <c r="H1108" s="1"/>
    </row>
    <row r="1109" spans="8:8" x14ac:dyDescent="0.4">
      <c r="H1109" s="1"/>
    </row>
    <row r="1110" spans="8:8" x14ac:dyDescent="0.4">
      <c r="H1110" s="1"/>
    </row>
    <row r="1111" spans="8:8" x14ac:dyDescent="0.4">
      <c r="H1111" s="1"/>
    </row>
    <row r="1112" spans="8:8" x14ac:dyDescent="0.4">
      <c r="H1112" s="1"/>
    </row>
    <row r="1113" spans="8:8" x14ac:dyDescent="0.4">
      <c r="H1113" s="1"/>
    </row>
    <row r="1114" spans="8:8" x14ac:dyDescent="0.4">
      <c r="H1114" s="1"/>
    </row>
    <row r="1115" spans="8:8" x14ac:dyDescent="0.4">
      <c r="H1115" s="1"/>
    </row>
    <row r="1116" spans="8:8" x14ac:dyDescent="0.4">
      <c r="H1116" s="1"/>
    </row>
    <row r="1117" spans="8:8" x14ac:dyDescent="0.4">
      <c r="H1117" s="1"/>
    </row>
    <row r="1118" spans="8:8" x14ac:dyDescent="0.4">
      <c r="H1118" s="1"/>
    </row>
    <row r="1119" spans="8:8" x14ac:dyDescent="0.4">
      <c r="H1119" s="1"/>
    </row>
    <row r="1120" spans="8:8" x14ac:dyDescent="0.4">
      <c r="H1120" s="1"/>
    </row>
    <row r="1121" spans="8:8" x14ac:dyDescent="0.4">
      <c r="H1121" s="1"/>
    </row>
    <row r="1122" spans="8:8" x14ac:dyDescent="0.4">
      <c r="H1122" s="1"/>
    </row>
    <row r="1123" spans="8:8" x14ac:dyDescent="0.4">
      <c r="H1123" s="1"/>
    </row>
    <row r="1124" spans="8:8" x14ac:dyDescent="0.4">
      <c r="H1124" s="1"/>
    </row>
    <row r="1125" spans="8:8" x14ac:dyDescent="0.4">
      <c r="H1125" s="1"/>
    </row>
    <row r="1126" spans="8:8" x14ac:dyDescent="0.4">
      <c r="H1126" s="1"/>
    </row>
    <row r="1127" spans="8:8" x14ac:dyDescent="0.4">
      <c r="H1127" s="1"/>
    </row>
    <row r="1128" spans="8:8" x14ac:dyDescent="0.4">
      <c r="H1128" s="1"/>
    </row>
    <row r="1129" spans="8:8" x14ac:dyDescent="0.4">
      <c r="H1129" s="1"/>
    </row>
    <row r="1130" spans="8:8" x14ac:dyDescent="0.4">
      <c r="H1130" s="1"/>
    </row>
    <row r="1131" spans="8:8" x14ac:dyDescent="0.4">
      <c r="H1131" s="1"/>
    </row>
    <row r="1132" spans="8:8" x14ac:dyDescent="0.4">
      <c r="H1132" s="1"/>
    </row>
    <row r="1133" spans="8:8" x14ac:dyDescent="0.4">
      <c r="H1133" s="1"/>
    </row>
    <row r="1134" spans="8:8" x14ac:dyDescent="0.4">
      <c r="H1134" s="1"/>
    </row>
    <row r="1135" spans="8:8" x14ac:dyDescent="0.4">
      <c r="H1135" s="1"/>
    </row>
    <row r="1136" spans="8:8" x14ac:dyDescent="0.4">
      <c r="H1136" s="1"/>
    </row>
    <row r="1137" spans="8:8" x14ac:dyDescent="0.4">
      <c r="H1137" s="1"/>
    </row>
    <row r="1138" spans="8:8" x14ac:dyDescent="0.4">
      <c r="H1138" s="1"/>
    </row>
    <row r="1139" spans="8:8" x14ac:dyDescent="0.4">
      <c r="H1139" s="1"/>
    </row>
    <row r="1140" spans="8:8" x14ac:dyDescent="0.4">
      <c r="H1140" s="1"/>
    </row>
    <row r="1141" spans="8:8" x14ac:dyDescent="0.4">
      <c r="H1141" s="1"/>
    </row>
    <row r="1142" spans="8:8" x14ac:dyDescent="0.4">
      <c r="H1142" s="1"/>
    </row>
    <row r="1143" spans="8:8" x14ac:dyDescent="0.4">
      <c r="H1143" s="1"/>
    </row>
    <row r="1144" spans="8:8" x14ac:dyDescent="0.4">
      <c r="H1144" s="1"/>
    </row>
    <row r="1145" spans="8:8" x14ac:dyDescent="0.4">
      <c r="H1145" s="1"/>
    </row>
    <row r="1146" spans="8:8" x14ac:dyDescent="0.4">
      <c r="H1146" s="1"/>
    </row>
    <row r="1147" spans="8:8" x14ac:dyDescent="0.4">
      <c r="H1147" s="1"/>
    </row>
    <row r="1148" spans="8:8" x14ac:dyDescent="0.4">
      <c r="H1148" s="1"/>
    </row>
    <row r="1149" spans="8:8" x14ac:dyDescent="0.4">
      <c r="H1149" s="1"/>
    </row>
    <row r="1150" spans="8:8" x14ac:dyDescent="0.4">
      <c r="H1150" s="1"/>
    </row>
    <row r="1151" spans="8:8" x14ac:dyDescent="0.4">
      <c r="H1151" s="1"/>
    </row>
    <row r="1152" spans="8:8" x14ac:dyDescent="0.4">
      <c r="H1152" s="1"/>
    </row>
    <row r="1153" spans="8:8" x14ac:dyDescent="0.4">
      <c r="H1153" s="1"/>
    </row>
    <row r="1154" spans="8:8" x14ac:dyDescent="0.4">
      <c r="H1154" s="1"/>
    </row>
    <row r="1155" spans="8:8" x14ac:dyDescent="0.4">
      <c r="H1155" s="1"/>
    </row>
    <row r="1156" spans="8:8" x14ac:dyDescent="0.4">
      <c r="H1156" s="1"/>
    </row>
    <row r="1157" spans="8:8" x14ac:dyDescent="0.4">
      <c r="H1157" s="1"/>
    </row>
    <row r="1158" spans="8:8" x14ac:dyDescent="0.4">
      <c r="H1158" s="1"/>
    </row>
    <row r="1159" spans="8:8" x14ac:dyDescent="0.4">
      <c r="H1159" s="1"/>
    </row>
    <row r="1160" spans="8:8" x14ac:dyDescent="0.4">
      <c r="H1160" s="1"/>
    </row>
    <row r="1161" spans="8:8" x14ac:dyDescent="0.4">
      <c r="H1161" s="1"/>
    </row>
    <row r="1162" spans="8:8" x14ac:dyDescent="0.4">
      <c r="H1162" s="1"/>
    </row>
    <row r="1163" spans="8:8" x14ac:dyDescent="0.4">
      <c r="H1163" s="1"/>
    </row>
    <row r="1164" spans="8:8" x14ac:dyDescent="0.4">
      <c r="H1164" s="1"/>
    </row>
    <row r="1165" spans="8:8" x14ac:dyDescent="0.4">
      <c r="H1165" s="1"/>
    </row>
    <row r="1166" spans="8:8" x14ac:dyDescent="0.4">
      <c r="H1166" s="1"/>
    </row>
    <row r="1167" spans="8:8" x14ac:dyDescent="0.4">
      <c r="H1167" s="1"/>
    </row>
    <row r="1168" spans="8:8" x14ac:dyDescent="0.4">
      <c r="H1168" s="1"/>
    </row>
    <row r="1169" spans="8:8" x14ac:dyDescent="0.4">
      <c r="H1169" s="1"/>
    </row>
    <row r="1170" spans="8:8" x14ac:dyDescent="0.4">
      <c r="H1170" s="1"/>
    </row>
    <row r="1171" spans="8:8" x14ac:dyDescent="0.4">
      <c r="H1171" s="1"/>
    </row>
    <row r="1172" spans="8:8" x14ac:dyDescent="0.4">
      <c r="H1172" s="1"/>
    </row>
    <row r="1173" spans="8:8" x14ac:dyDescent="0.4">
      <c r="H1173" s="1"/>
    </row>
    <row r="1174" spans="8:8" x14ac:dyDescent="0.4">
      <c r="H1174" s="1"/>
    </row>
    <row r="1175" spans="8:8" x14ac:dyDescent="0.4">
      <c r="H1175" s="1"/>
    </row>
    <row r="1176" spans="8:8" x14ac:dyDescent="0.4">
      <c r="H1176" s="1"/>
    </row>
    <row r="1177" spans="8:8" x14ac:dyDescent="0.4">
      <c r="H1177" s="1"/>
    </row>
    <row r="1178" spans="8:8" x14ac:dyDescent="0.4">
      <c r="H1178" s="1"/>
    </row>
    <row r="1179" spans="8:8" x14ac:dyDescent="0.4">
      <c r="H1179" s="1"/>
    </row>
    <row r="1180" spans="8:8" x14ac:dyDescent="0.4">
      <c r="H1180" s="1"/>
    </row>
    <row r="1181" spans="8:8" x14ac:dyDescent="0.4">
      <c r="H1181" s="1"/>
    </row>
    <row r="1182" spans="8:8" x14ac:dyDescent="0.4">
      <c r="H1182" s="1"/>
    </row>
    <row r="1183" spans="8:8" x14ac:dyDescent="0.4">
      <c r="H1183" s="1"/>
    </row>
    <row r="1184" spans="8:8" x14ac:dyDescent="0.4">
      <c r="H1184" s="1"/>
    </row>
    <row r="1185" spans="8:8" x14ac:dyDescent="0.4">
      <c r="H1185" s="1"/>
    </row>
    <row r="1186" spans="8:8" x14ac:dyDescent="0.4">
      <c r="H1186" s="1"/>
    </row>
    <row r="1187" spans="8:8" x14ac:dyDescent="0.4">
      <c r="H1187" s="1"/>
    </row>
    <row r="1188" spans="8:8" x14ac:dyDescent="0.4">
      <c r="H1188" s="1"/>
    </row>
    <row r="1189" spans="8:8" x14ac:dyDescent="0.4">
      <c r="H1189" s="1"/>
    </row>
    <row r="1190" spans="8:8" x14ac:dyDescent="0.4">
      <c r="H1190" s="1"/>
    </row>
    <row r="1191" spans="8:8" x14ac:dyDescent="0.4">
      <c r="H1191" s="1"/>
    </row>
    <row r="1192" spans="8:8" x14ac:dyDescent="0.4">
      <c r="H1192" s="1"/>
    </row>
    <row r="1193" spans="8:8" x14ac:dyDescent="0.4">
      <c r="H1193" s="1"/>
    </row>
    <row r="1194" spans="8:8" x14ac:dyDescent="0.4">
      <c r="H1194" s="1"/>
    </row>
    <row r="1195" spans="8:8" x14ac:dyDescent="0.4">
      <c r="H1195" s="1"/>
    </row>
    <row r="1196" spans="8:8" x14ac:dyDescent="0.4">
      <c r="H1196" s="1"/>
    </row>
    <row r="1197" spans="8:8" x14ac:dyDescent="0.4">
      <c r="H1197" s="1"/>
    </row>
    <row r="1198" spans="8:8" x14ac:dyDescent="0.4">
      <c r="H1198" s="1"/>
    </row>
    <row r="1199" spans="8:8" x14ac:dyDescent="0.4">
      <c r="H1199" s="1"/>
    </row>
    <row r="1200" spans="8:8" x14ac:dyDescent="0.4">
      <c r="H1200" s="1"/>
    </row>
    <row r="1201" spans="8:8" x14ac:dyDescent="0.4">
      <c r="H1201" s="1"/>
    </row>
    <row r="1202" spans="8:8" x14ac:dyDescent="0.4">
      <c r="H1202" s="1"/>
    </row>
    <row r="1203" spans="8:8" x14ac:dyDescent="0.4">
      <c r="H1203" s="1"/>
    </row>
    <row r="1204" spans="8:8" x14ac:dyDescent="0.4">
      <c r="H1204" s="1"/>
    </row>
    <row r="1205" spans="8:8" x14ac:dyDescent="0.4">
      <c r="H1205" s="1"/>
    </row>
    <row r="1206" spans="8:8" x14ac:dyDescent="0.4">
      <c r="H1206" s="1"/>
    </row>
    <row r="1207" spans="8:8" x14ac:dyDescent="0.4">
      <c r="H1207" s="1"/>
    </row>
    <row r="1208" spans="8:8" x14ac:dyDescent="0.4">
      <c r="H1208" s="1"/>
    </row>
    <row r="1209" spans="8:8" x14ac:dyDescent="0.4">
      <c r="H1209" s="1"/>
    </row>
    <row r="1210" spans="8:8" x14ac:dyDescent="0.4">
      <c r="H1210" s="1"/>
    </row>
    <row r="1211" spans="8:8" x14ac:dyDescent="0.4">
      <c r="H1211" s="1"/>
    </row>
    <row r="1212" spans="8:8" x14ac:dyDescent="0.4">
      <c r="H1212" s="1"/>
    </row>
    <row r="1213" spans="8:8" x14ac:dyDescent="0.4">
      <c r="H1213" s="1"/>
    </row>
    <row r="1214" spans="8:8" x14ac:dyDescent="0.4">
      <c r="H1214" s="1"/>
    </row>
    <row r="1215" spans="8:8" x14ac:dyDescent="0.4">
      <c r="H1215" s="1"/>
    </row>
    <row r="1216" spans="8:8" x14ac:dyDescent="0.4">
      <c r="H1216" s="1"/>
    </row>
    <row r="1217" spans="8:8" x14ac:dyDescent="0.4">
      <c r="H1217" s="1"/>
    </row>
    <row r="1218" spans="8:8" x14ac:dyDescent="0.4">
      <c r="H1218" s="1"/>
    </row>
    <row r="1219" spans="8:8" x14ac:dyDescent="0.4">
      <c r="H1219" s="1"/>
    </row>
    <row r="1220" spans="8:8" x14ac:dyDescent="0.4">
      <c r="H1220" s="1"/>
    </row>
    <row r="1221" spans="8:8" x14ac:dyDescent="0.4">
      <c r="H1221" s="1"/>
    </row>
    <row r="1222" spans="8:8" x14ac:dyDescent="0.4">
      <c r="H1222" s="1"/>
    </row>
    <row r="1223" spans="8:8" x14ac:dyDescent="0.4">
      <c r="H1223" s="1"/>
    </row>
    <row r="1224" spans="8:8" x14ac:dyDescent="0.4">
      <c r="H1224" s="1"/>
    </row>
    <row r="1225" spans="8:8" x14ac:dyDescent="0.4">
      <c r="H1225" s="1"/>
    </row>
    <row r="1226" spans="8:8" x14ac:dyDescent="0.4">
      <c r="H1226" s="1"/>
    </row>
    <row r="1227" spans="8:8" x14ac:dyDescent="0.4">
      <c r="H1227" s="1"/>
    </row>
    <row r="1228" spans="8:8" x14ac:dyDescent="0.4">
      <c r="H1228" s="1"/>
    </row>
    <row r="1229" spans="8:8" x14ac:dyDescent="0.4">
      <c r="H1229" s="1"/>
    </row>
    <row r="1230" spans="8:8" x14ac:dyDescent="0.4">
      <c r="H1230" s="1"/>
    </row>
    <row r="1231" spans="8:8" x14ac:dyDescent="0.4">
      <c r="H1231" s="1"/>
    </row>
    <row r="1232" spans="8:8" x14ac:dyDescent="0.4">
      <c r="H1232" s="1"/>
    </row>
    <row r="1233" spans="8:8" x14ac:dyDescent="0.4">
      <c r="H1233" s="1"/>
    </row>
    <row r="1234" spans="8:8" x14ac:dyDescent="0.4">
      <c r="H1234" s="1"/>
    </row>
    <row r="1235" spans="8:8" x14ac:dyDescent="0.4">
      <c r="H1235" s="1"/>
    </row>
    <row r="1236" spans="8:8" x14ac:dyDescent="0.4">
      <c r="H1236" s="1"/>
    </row>
    <row r="1237" spans="8:8" x14ac:dyDescent="0.4">
      <c r="H1237" s="1"/>
    </row>
    <row r="1238" spans="8:8" x14ac:dyDescent="0.4">
      <c r="H1238" s="1"/>
    </row>
    <row r="1239" spans="8:8" x14ac:dyDescent="0.4">
      <c r="H1239" s="1"/>
    </row>
    <row r="1240" spans="8:8" x14ac:dyDescent="0.4">
      <c r="H1240" s="1"/>
    </row>
    <row r="1241" spans="8:8" x14ac:dyDescent="0.4">
      <c r="H1241" s="1"/>
    </row>
    <row r="1242" spans="8:8" x14ac:dyDescent="0.4">
      <c r="H1242" s="1"/>
    </row>
    <row r="1243" spans="8:8" x14ac:dyDescent="0.4">
      <c r="H1243" s="1"/>
    </row>
    <row r="1244" spans="8:8" x14ac:dyDescent="0.4">
      <c r="H1244" s="1"/>
    </row>
    <row r="1245" spans="8:8" x14ac:dyDescent="0.4">
      <c r="H1245" s="1"/>
    </row>
    <row r="1246" spans="8:8" x14ac:dyDescent="0.4">
      <c r="H1246" s="1"/>
    </row>
    <row r="1247" spans="8:8" x14ac:dyDescent="0.4">
      <c r="H1247" s="1"/>
    </row>
    <row r="1248" spans="8:8" x14ac:dyDescent="0.4">
      <c r="H1248" s="1"/>
    </row>
    <row r="1249" spans="8:8" x14ac:dyDescent="0.4">
      <c r="H1249" s="1"/>
    </row>
    <row r="1250" spans="8:8" x14ac:dyDescent="0.4">
      <c r="H1250" s="1"/>
    </row>
    <row r="1251" spans="8:8" x14ac:dyDescent="0.4">
      <c r="H1251" s="1"/>
    </row>
    <row r="1252" spans="8:8" x14ac:dyDescent="0.4">
      <c r="H1252" s="1"/>
    </row>
    <row r="1253" spans="8:8" x14ac:dyDescent="0.4">
      <c r="H1253" s="1"/>
    </row>
    <row r="1254" spans="8:8" x14ac:dyDescent="0.4">
      <c r="H1254" s="1"/>
    </row>
    <row r="1255" spans="8:8" x14ac:dyDescent="0.4">
      <c r="H1255" s="1"/>
    </row>
    <row r="1256" spans="8:8" x14ac:dyDescent="0.4">
      <c r="H1256" s="1"/>
    </row>
    <row r="1257" spans="8:8" x14ac:dyDescent="0.4">
      <c r="H1257" s="1"/>
    </row>
    <row r="1258" spans="8:8" x14ac:dyDescent="0.4">
      <c r="H1258" s="1"/>
    </row>
    <row r="1259" spans="8:8" x14ac:dyDescent="0.4">
      <c r="H1259" s="1"/>
    </row>
    <row r="1260" spans="8:8" x14ac:dyDescent="0.4">
      <c r="H1260" s="1"/>
    </row>
    <row r="1261" spans="8:8" x14ac:dyDescent="0.4">
      <c r="H1261" s="1"/>
    </row>
    <row r="1262" spans="8:8" x14ac:dyDescent="0.4">
      <c r="H1262" s="1"/>
    </row>
    <row r="1263" spans="8:8" x14ac:dyDescent="0.4">
      <c r="H1263" s="1"/>
    </row>
    <row r="1264" spans="8:8" x14ac:dyDescent="0.4">
      <c r="H1264" s="1"/>
    </row>
    <row r="1265" spans="8:8" x14ac:dyDescent="0.4">
      <c r="H1265" s="1"/>
    </row>
    <row r="1266" spans="8:8" x14ac:dyDescent="0.4">
      <c r="H1266" s="1"/>
    </row>
    <row r="1267" spans="8:8" x14ac:dyDescent="0.4">
      <c r="H1267" s="1"/>
    </row>
    <row r="1268" spans="8:8" x14ac:dyDescent="0.4">
      <c r="H1268" s="1"/>
    </row>
    <row r="1269" spans="8:8" x14ac:dyDescent="0.4">
      <c r="H1269" s="1"/>
    </row>
    <row r="1270" spans="8:8" x14ac:dyDescent="0.4">
      <c r="H1270" s="1"/>
    </row>
    <row r="1271" spans="8:8" x14ac:dyDescent="0.4">
      <c r="H1271" s="1"/>
    </row>
    <row r="1272" spans="8:8" x14ac:dyDescent="0.4">
      <c r="H1272" s="1"/>
    </row>
    <row r="1273" spans="8:8" x14ac:dyDescent="0.4">
      <c r="H1273" s="1"/>
    </row>
    <row r="1274" spans="8:8" x14ac:dyDescent="0.4">
      <c r="H1274" s="1"/>
    </row>
    <row r="1275" spans="8:8" x14ac:dyDescent="0.4">
      <c r="H1275" s="1"/>
    </row>
    <row r="1276" spans="8:8" x14ac:dyDescent="0.4">
      <c r="H1276" s="1"/>
    </row>
    <row r="1277" spans="8:8" x14ac:dyDescent="0.4">
      <c r="H1277" s="1"/>
    </row>
    <row r="1278" spans="8:8" x14ac:dyDescent="0.4">
      <c r="H1278" s="1"/>
    </row>
    <row r="1279" spans="8:8" x14ac:dyDescent="0.4">
      <c r="H1279" s="1"/>
    </row>
    <row r="1280" spans="8:8" x14ac:dyDescent="0.4">
      <c r="H1280" s="1"/>
    </row>
    <row r="1281" spans="8:8" x14ac:dyDescent="0.4">
      <c r="H1281" s="1"/>
    </row>
    <row r="1282" spans="8:8" x14ac:dyDescent="0.4">
      <c r="H1282" s="1"/>
    </row>
    <row r="1283" spans="8:8" x14ac:dyDescent="0.4">
      <c r="H1283" s="1"/>
    </row>
    <row r="1284" spans="8:8" x14ac:dyDescent="0.4">
      <c r="H1284" s="1"/>
    </row>
    <row r="1285" spans="8:8" x14ac:dyDescent="0.4">
      <c r="H1285" s="1"/>
    </row>
    <row r="1286" spans="8:8" x14ac:dyDescent="0.4">
      <c r="H1286" s="1"/>
    </row>
    <row r="1287" spans="8:8" x14ac:dyDescent="0.4">
      <c r="H1287" s="1"/>
    </row>
    <row r="1288" spans="8:8" x14ac:dyDescent="0.4">
      <c r="H1288" s="1"/>
    </row>
    <row r="1289" spans="8:8" x14ac:dyDescent="0.4">
      <c r="H1289" s="1"/>
    </row>
    <row r="1290" spans="8:8" x14ac:dyDescent="0.4">
      <c r="H1290" s="1"/>
    </row>
    <row r="1291" spans="8:8" x14ac:dyDescent="0.4">
      <c r="H1291" s="1"/>
    </row>
    <row r="1292" spans="8:8" x14ac:dyDescent="0.4">
      <c r="H1292" s="1"/>
    </row>
    <row r="1293" spans="8:8" x14ac:dyDescent="0.4">
      <c r="H1293" s="1"/>
    </row>
    <row r="1294" spans="8:8" x14ac:dyDescent="0.4">
      <c r="H1294" s="1"/>
    </row>
    <row r="1295" spans="8:8" x14ac:dyDescent="0.4">
      <c r="H1295" s="1"/>
    </row>
    <row r="1296" spans="8:8" x14ac:dyDescent="0.4">
      <c r="H1296" s="1"/>
    </row>
    <row r="1297" spans="8:8" x14ac:dyDescent="0.4">
      <c r="H1297" s="1"/>
    </row>
    <row r="1298" spans="8:8" x14ac:dyDescent="0.4">
      <c r="H1298" s="1"/>
    </row>
    <row r="1299" spans="8:8" x14ac:dyDescent="0.4">
      <c r="H1299" s="1"/>
    </row>
    <row r="1300" spans="8:8" x14ac:dyDescent="0.4">
      <c r="H1300" s="1"/>
    </row>
    <row r="1301" spans="8:8" x14ac:dyDescent="0.4">
      <c r="H1301" s="1"/>
    </row>
    <row r="1302" spans="8:8" x14ac:dyDescent="0.4">
      <c r="H1302" s="1"/>
    </row>
    <row r="1303" spans="8:8" x14ac:dyDescent="0.4">
      <c r="H1303" s="1"/>
    </row>
    <row r="1304" spans="8:8" x14ac:dyDescent="0.4">
      <c r="H1304" s="1"/>
    </row>
    <row r="1305" spans="8:8" x14ac:dyDescent="0.4">
      <c r="H1305" s="1"/>
    </row>
    <row r="1306" spans="8:8" x14ac:dyDescent="0.4">
      <c r="H1306" s="1"/>
    </row>
    <row r="1307" spans="8:8" x14ac:dyDescent="0.4">
      <c r="H1307" s="1"/>
    </row>
    <row r="1308" spans="8:8" x14ac:dyDescent="0.4">
      <c r="H1308" s="1"/>
    </row>
    <row r="1309" spans="8:8" x14ac:dyDescent="0.4">
      <c r="H1309" s="1"/>
    </row>
    <row r="1310" spans="8:8" x14ac:dyDescent="0.4">
      <c r="H1310" s="1"/>
    </row>
    <row r="1311" spans="8:8" x14ac:dyDescent="0.4">
      <c r="H1311" s="1"/>
    </row>
    <row r="1312" spans="8:8" x14ac:dyDescent="0.4">
      <c r="H1312" s="1"/>
    </row>
    <row r="1313" spans="8:8" x14ac:dyDescent="0.4">
      <c r="H1313" s="1"/>
    </row>
    <row r="1314" spans="8:8" x14ac:dyDescent="0.4">
      <c r="H1314" s="1"/>
    </row>
    <row r="1315" spans="8:8" x14ac:dyDescent="0.4">
      <c r="H1315" s="1"/>
    </row>
    <row r="1316" spans="8:8" x14ac:dyDescent="0.4">
      <c r="H1316" s="1"/>
    </row>
    <row r="1317" spans="8:8" x14ac:dyDescent="0.4">
      <c r="H1317" s="1"/>
    </row>
    <row r="1318" spans="8:8" x14ac:dyDescent="0.4">
      <c r="H1318" s="1"/>
    </row>
    <row r="1319" spans="8:8" x14ac:dyDescent="0.4">
      <c r="H1319" s="1"/>
    </row>
    <row r="1320" spans="8:8" x14ac:dyDescent="0.4">
      <c r="H1320" s="1"/>
    </row>
    <row r="1321" spans="8:8" x14ac:dyDescent="0.4">
      <c r="H1321" s="1"/>
    </row>
    <row r="1322" spans="8:8" x14ac:dyDescent="0.4">
      <c r="H1322" s="1"/>
    </row>
    <row r="1323" spans="8:8" x14ac:dyDescent="0.4">
      <c r="H1323" s="1"/>
    </row>
    <row r="1324" spans="8:8" x14ac:dyDescent="0.4">
      <c r="H1324" s="1"/>
    </row>
    <row r="1325" spans="8:8" x14ac:dyDescent="0.4">
      <c r="H1325" s="1"/>
    </row>
    <row r="1326" spans="8:8" x14ac:dyDescent="0.4">
      <c r="H1326" s="1"/>
    </row>
    <row r="1327" spans="8:8" x14ac:dyDescent="0.4">
      <c r="H1327" s="1"/>
    </row>
    <row r="1328" spans="8:8" x14ac:dyDescent="0.4">
      <c r="H1328" s="1"/>
    </row>
    <row r="1329" spans="8:8" x14ac:dyDescent="0.4">
      <c r="H1329" s="1"/>
    </row>
    <row r="1330" spans="8:8" x14ac:dyDescent="0.4">
      <c r="H1330" s="1"/>
    </row>
    <row r="1331" spans="8:8" x14ac:dyDescent="0.4">
      <c r="H1331" s="1"/>
    </row>
    <row r="1332" spans="8:8" x14ac:dyDescent="0.4">
      <c r="H1332" s="1"/>
    </row>
    <row r="1333" spans="8:8" x14ac:dyDescent="0.4">
      <c r="H1333" s="1"/>
    </row>
    <row r="1334" spans="8:8" x14ac:dyDescent="0.4">
      <c r="H1334" s="1"/>
    </row>
    <row r="1335" spans="8:8" x14ac:dyDescent="0.4">
      <c r="H1335" s="1"/>
    </row>
    <row r="1336" spans="8:8" x14ac:dyDescent="0.4">
      <c r="H1336" s="1"/>
    </row>
    <row r="1337" spans="8:8" x14ac:dyDescent="0.4">
      <c r="H1337" s="1"/>
    </row>
    <row r="1338" spans="8:8" x14ac:dyDescent="0.4">
      <c r="H1338" s="1"/>
    </row>
    <row r="1339" spans="8:8" x14ac:dyDescent="0.4">
      <c r="H1339" s="1"/>
    </row>
    <row r="1340" spans="8:8" x14ac:dyDescent="0.4">
      <c r="H1340" s="1"/>
    </row>
    <row r="1341" spans="8:8" x14ac:dyDescent="0.4">
      <c r="H1341" s="1"/>
    </row>
    <row r="1342" spans="8:8" x14ac:dyDescent="0.4">
      <c r="H1342" s="1"/>
    </row>
    <row r="1343" spans="8:8" x14ac:dyDescent="0.4">
      <c r="H1343" s="1"/>
    </row>
    <row r="1344" spans="8:8" x14ac:dyDescent="0.4">
      <c r="H1344" s="1"/>
    </row>
    <row r="1345" spans="8:8" x14ac:dyDescent="0.4">
      <c r="H1345" s="1"/>
    </row>
    <row r="1346" spans="8:8" x14ac:dyDescent="0.4">
      <c r="H1346" s="1"/>
    </row>
    <row r="1347" spans="8:8" x14ac:dyDescent="0.4">
      <c r="H1347" s="1"/>
    </row>
    <row r="1348" spans="8:8" x14ac:dyDescent="0.4">
      <c r="H1348" s="1"/>
    </row>
    <row r="1349" spans="8:8" x14ac:dyDescent="0.4">
      <c r="H1349" s="1"/>
    </row>
    <row r="1350" spans="8:8" x14ac:dyDescent="0.4">
      <c r="H1350" s="1"/>
    </row>
    <row r="1351" spans="8:8" x14ac:dyDescent="0.4">
      <c r="H1351" s="1"/>
    </row>
    <row r="1352" spans="8:8" x14ac:dyDescent="0.4">
      <c r="H1352" s="1"/>
    </row>
    <row r="1353" spans="8:8" x14ac:dyDescent="0.4">
      <c r="H1353" s="1"/>
    </row>
    <row r="1354" spans="8:8" x14ac:dyDescent="0.4">
      <c r="H1354" s="1"/>
    </row>
    <row r="1355" spans="8:8" x14ac:dyDescent="0.4">
      <c r="H1355" s="1"/>
    </row>
    <row r="1356" spans="8:8" x14ac:dyDescent="0.4">
      <c r="H1356" s="1"/>
    </row>
    <row r="1357" spans="8:8" x14ac:dyDescent="0.4">
      <c r="H1357" s="1"/>
    </row>
    <row r="1358" spans="8:8" x14ac:dyDescent="0.4">
      <c r="H1358" s="1"/>
    </row>
    <row r="1359" spans="8:8" x14ac:dyDescent="0.4">
      <c r="H1359" s="1"/>
    </row>
    <row r="1360" spans="8:8" x14ac:dyDescent="0.4">
      <c r="H1360" s="1"/>
    </row>
    <row r="1361" spans="8:8" x14ac:dyDescent="0.4">
      <c r="H1361" s="1"/>
    </row>
    <row r="1362" spans="8:8" x14ac:dyDescent="0.4">
      <c r="H1362" s="1"/>
    </row>
    <row r="1363" spans="8:8" x14ac:dyDescent="0.4">
      <c r="H1363" s="1"/>
    </row>
    <row r="1364" spans="8:8" x14ac:dyDescent="0.4">
      <c r="H1364" s="1"/>
    </row>
    <row r="1365" spans="8:8" x14ac:dyDescent="0.4">
      <c r="H1365" s="1"/>
    </row>
    <row r="1366" spans="8:8" x14ac:dyDescent="0.4">
      <c r="H1366" s="1"/>
    </row>
    <row r="1367" spans="8:8" x14ac:dyDescent="0.4">
      <c r="H1367" s="1"/>
    </row>
    <row r="1368" spans="8:8" x14ac:dyDescent="0.4">
      <c r="H1368" s="1"/>
    </row>
    <row r="1369" spans="8:8" x14ac:dyDescent="0.4">
      <c r="H1369" s="1"/>
    </row>
    <row r="1370" spans="8:8" x14ac:dyDescent="0.4">
      <c r="H1370" s="1"/>
    </row>
    <row r="1371" spans="8:8" x14ac:dyDescent="0.4">
      <c r="H1371" s="1"/>
    </row>
    <row r="1372" spans="8:8" x14ac:dyDescent="0.4">
      <c r="H1372" s="1"/>
    </row>
    <row r="1373" spans="8:8" x14ac:dyDescent="0.4">
      <c r="H1373" s="1"/>
    </row>
    <row r="1374" spans="8:8" x14ac:dyDescent="0.4">
      <c r="H1374" s="1"/>
    </row>
    <row r="1375" spans="8:8" x14ac:dyDescent="0.4">
      <c r="H1375" s="1"/>
    </row>
    <row r="1376" spans="8:8" x14ac:dyDescent="0.4">
      <c r="H1376" s="1"/>
    </row>
    <row r="1377" spans="8:8" x14ac:dyDescent="0.4">
      <c r="H1377" s="1"/>
    </row>
    <row r="1378" spans="8:8" x14ac:dyDescent="0.4">
      <c r="H1378" s="1"/>
    </row>
    <row r="1379" spans="8:8" x14ac:dyDescent="0.4">
      <c r="H1379" s="1"/>
    </row>
    <row r="1380" spans="8:8" x14ac:dyDescent="0.4">
      <c r="H1380" s="1"/>
    </row>
    <row r="1381" spans="8:8" x14ac:dyDescent="0.4">
      <c r="H1381" s="1"/>
    </row>
    <row r="1382" spans="8:8" x14ac:dyDescent="0.4">
      <c r="H1382" s="1"/>
    </row>
    <row r="1383" spans="8:8" x14ac:dyDescent="0.4">
      <c r="H1383" s="1"/>
    </row>
    <row r="1384" spans="8:8" x14ac:dyDescent="0.4">
      <c r="H1384" s="1"/>
    </row>
    <row r="1385" spans="8:8" x14ac:dyDescent="0.4">
      <c r="H1385" s="1"/>
    </row>
    <row r="1386" spans="8:8" x14ac:dyDescent="0.4">
      <c r="H1386" s="1"/>
    </row>
    <row r="1387" spans="8:8" x14ac:dyDescent="0.4">
      <c r="H1387" s="1"/>
    </row>
    <row r="1388" spans="8:8" x14ac:dyDescent="0.4">
      <c r="H1388" s="1"/>
    </row>
    <row r="1389" spans="8:8" x14ac:dyDescent="0.4">
      <c r="H1389" s="1"/>
    </row>
    <row r="1390" spans="8:8" x14ac:dyDescent="0.4">
      <c r="H1390" s="1"/>
    </row>
    <row r="1391" spans="8:8" x14ac:dyDescent="0.4">
      <c r="H1391" s="1"/>
    </row>
    <row r="1392" spans="8:8" x14ac:dyDescent="0.4">
      <c r="H1392" s="1"/>
    </row>
    <row r="1393" spans="8:8" x14ac:dyDescent="0.4">
      <c r="H1393" s="1"/>
    </row>
    <row r="1394" spans="8:8" x14ac:dyDescent="0.4">
      <c r="H1394" s="1"/>
    </row>
    <row r="1395" spans="8:8" x14ac:dyDescent="0.4">
      <c r="H1395" s="1"/>
    </row>
    <row r="1396" spans="8:8" x14ac:dyDescent="0.4">
      <c r="H1396" s="1"/>
    </row>
    <row r="1397" spans="8:8" x14ac:dyDescent="0.4">
      <c r="H1397" s="1"/>
    </row>
    <row r="1398" spans="8:8" x14ac:dyDescent="0.4">
      <c r="H1398" s="1"/>
    </row>
    <row r="1399" spans="8:8" x14ac:dyDescent="0.4">
      <c r="H1399" s="1"/>
    </row>
    <row r="1400" spans="8:8" x14ac:dyDescent="0.4">
      <c r="H1400" s="1"/>
    </row>
    <row r="1401" spans="8:8" x14ac:dyDescent="0.4">
      <c r="H1401" s="1"/>
    </row>
    <row r="1402" spans="8:8" x14ac:dyDescent="0.4">
      <c r="H1402" s="1"/>
    </row>
    <row r="1403" spans="8:8" x14ac:dyDescent="0.4">
      <c r="H1403" s="1"/>
    </row>
    <row r="1404" spans="8:8" x14ac:dyDescent="0.4">
      <c r="H1404" s="1"/>
    </row>
    <row r="1405" spans="8:8" x14ac:dyDescent="0.4">
      <c r="H1405" s="1"/>
    </row>
    <row r="1406" spans="8:8" x14ac:dyDescent="0.4">
      <c r="H1406" s="1"/>
    </row>
    <row r="1407" spans="8:8" x14ac:dyDescent="0.4">
      <c r="H1407" s="1"/>
    </row>
    <row r="1408" spans="8:8" x14ac:dyDescent="0.4">
      <c r="H1408" s="1"/>
    </row>
    <row r="1409" spans="8:8" x14ac:dyDescent="0.4">
      <c r="H1409" s="1"/>
    </row>
    <row r="1410" spans="8:8" x14ac:dyDescent="0.4">
      <c r="H1410" s="1"/>
    </row>
    <row r="1411" spans="8:8" x14ac:dyDescent="0.4">
      <c r="H1411" s="1"/>
    </row>
    <row r="1412" spans="8:8" x14ac:dyDescent="0.4">
      <c r="H1412" s="1"/>
    </row>
    <row r="1413" spans="8:8" x14ac:dyDescent="0.4">
      <c r="H1413" s="1"/>
    </row>
    <row r="1414" spans="8:8" x14ac:dyDescent="0.4">
      <c r="H1414" s="1"/>
    </row>
    <row r="1415" spans="8:8" x14ac:dyDescent="0.4">
      <c r="H1415" s="1"/>
    </row>
    <row r="1416" spans="8:8" x14ac:dyDescent="0.4">
      <c r="H1416" s="1"/>
    </row>
    <row r="1417" spans="8:8" x14ac:dyDescent="0.4">
      <c r="H1417" s="1"/>
    </row>
    <row r="1418" spans="8:8" x14ac:dyDescent="0.4">
      <c r="H1418" s="1"/>
    </row>
    <row r="1419" spans="8:8" x14ac:dyDescent="0.4">
      <c r="H1419" s="1"/>
    </row>
    <row r="1420" spans="8:8" x14ac:dyDescent="0.4">
      <c r="H1420" s="1"/>
    </row>
    <row r="1421" spans="8:8" x14ac:dyDescent="0.4">
      <c r="H1421" s="1"/>
    </row>
    <row r="1422" spans="8:8" x14ac:dyDescent="0.4">
      <c r="H1422" s="1"/>
    </row>
    <row r="1423" spans="8:8" x14ac:dyDescent="0.4">
      <c r="H1423" s="1"/>
    </row>
    <row r="1424" spans="8:8" x14ac:dyDescent="0.4">
      <c r="H1424" s="1"/>
    </row>
    <row r="1425" spans="8:8" x14ac:dyDescent="0.4">
      <c r="H1425" s="1"/>
    </row>
    <row r="1426" spans="8:8" x14ac:dyDescent="0.4">
      <c r="H1426" s="1"/>
    </row>
    <row r="1427" spans="8:8" x14ac:dyDescent="0.4">
      <c r="H1427" s="1"/>
    </row>
    <row r="1428" spans="8:8" x14ac:dyDescent="0.4">
      <c r="H1428" s="1"/>
    </row>
    <row r="1429" spans="8:8" x14ac:dyDescent="0.4">
      <c r="H1429" s="1"/>
    </row>
    <row r="1430" spans="8:8" x14ac:dyDescent="0.4">
      <c r="H1430" s="1"/>
    </row>
    <row r="1431" spans="8:8" x14ac:dyDescent="0.4">
      <c r="H1431" s="1"/>
    </row>
    <row r="1432" spans="8:8" x14ac:dyDescent="0.4">
      <c r="H1432" s="1"/>
    </row>
    <row r="1433" spans="8:8" x14ac:dyDescent="0.4">
      <c r="H1433" s="1"/>
    </row>
    <row r="1434" spans="8:8" x14ac:dyDescent="0.4">
      <c r="H1434" s="1"/>
    </row>
    <row r="1435" spans="8:8" x14ac:dyDescent="0.4">
      <c r="H1435" s="1"/>
    </row>
    <row r="1436" spans="8:8" x14ac:dyDescent="0.4">
      <c r="H1436" s="1"/>
    </row>
    <row r="1437" spans="8:8" x14ac:dyDescent="0.4">
      <c r="H1437" s="1"/>
    </row>
    <row r="1438" spans="8:8" x14ac:dyDescent="0.4">
      <c r="H1438" s="1"/>
    </row>
    <row r="1439" spans="8:8" x14ac:dyDescent="0.4">
      <c r="H1439" s="1"/>
    </row>
    <row r="1440" spans="8:8" x14ac:dyDescent="0.4">
      <c r="H1440" s="1"/>
    </row>
    <row r="1441" spans="8:8" x14ac:dyDescent="0.4">
      <c r="H1441" s="1"/>
    </row>
    <row r="1442" spans="8:8" x14ac:dyDescent="0.4">
      <c r="H1442" s="1"/>
    </row>
    <row r="1443" spans="8:8" x14ac:dyDescent="0.4">
      <c r="H1443" s="1"/>
    </row>
    <row r="1444" spans="8:8" x14ac:dyDescent="0.4">
      <c r="H1444" s="1"/>
    </row>
    <row r="1445" spans="8:8" x14ac:dyDescent="0.4">
      <c r="H1445" s="1"/>
    </row>
    <row r="1446" spans="8:8" x14ac:dyDescent="0.4">
      <c r="H1446" s="1"/>
    </row>
    <row r="1447" spans="8:8" x14ac:dyDescent="0.4">
      <c r="H1447" s="1"/>
    </row>
    <row r="1448" spans="8:8" x14ac:dyDescent="0.4">
      <c r="H1448" s="1"/>
    </row>
    <row r="1449" spans="8:8" x14ac:dyDescent="0.4">
      <c r="H1449" s="1"/>
    </row>
    <row r="1450" spans="8:8" x14ac:dyDescent="0.4">
      <c r="H1450" s="1"/>
    </row>
    <row r="1451" spans="8:8" x14ac:dyDescent="0.4">
      <c r="H1451" s="1"/>
    </row>
    <row r="1452" spans="8:8" x14ac:dyDescent="0.4">
      <c r="H1452" s="1"/>
    </row>
    <row r="1453" spans="8:8" x14ac:dyDescent="0.4">
      <c r="H1453" s="1"/>
    </row>
    <row r="1454" spans="8:8" x14ac:dyDescent="0.4">
      <c r="H1454" s="1"/>
    </row>
    <row r="1455" spans="8:8" x14ac:dyDescent="0.4">
      <c r="H1455" s="1"/>
    </row>
    <row r="1456" spans="8:8" x14ac:dyDescent="0.4">
      <c r="H1456" s="1"/>
    </row>
    <row r="1457" spans="8:8" x14ac:dyDescent="0.4">
      <c r="H1457" s="1"/>
    </row>
    <row r="1458" spans="8:8" x14ac:dyDescent="0.4">
      <c r="H1458" s="1"/>
    </row>
    <row r="1459" spans="8:8" x14ac:dyDescent="0.4">
      <c r="H1459" s="1"/>
    </row>
    <row r="1460" spans="8:8" x14ac:dyDescent="0.4">
      <c r="H1460" s="1"/>
    </row>
    <row r="1461" spans="8:8" x14ac:dyDescent="0.4">
      <c r="H1461" s="1"/>
    </row>
    <row r="1462" spans="8:8" x14ac:dyDescent="0.4">
      <c r="H1462" s="1"/>
    </row>
    <row r="1463" spans="8:8" x14ac:dyDescent="0.4">
      <c r="H1463" s="1"/>
    </row>
    <row r="1464" spans="8:8" x14ac:dyDescent="0.4">
      <c r="H1464" s="1"/>
    </row>
    <row r="1465" spans="8:8" x14ac:dyDescent="0.4">
      <c r="H1465" s="1"/>
    </row>
    <row r="1466" spans="8:8" x14ac:dyDescent="0.4">
      <c r="H1466" s="1"/>
    </row>
    <row r="1467" spans="8:8" x14ac:dyDescent="0.4">
      <c r="H1467" s="1"/>
    </row>
    <row r="1468" spans="8:8" x14ac:dyDescent="0.4">
      <c r="H1468" s="1"/>
    </row>
    <row r="1469" spans="8:8" x14ac:dyDescent="0.4">
      <c r="H1469" s="1"/>
    </row>
    <row r="1470" spans="8:8" x14ac:dyDescent="0.4">
      <c r="H1470" s="1"/>
    </row>
    <row r="1471" spans="8:8" x14ac:dyDescent="0.4">
      <c r="H1471" s="1"/>
    </row>
    <row r="1472" spans="8:8" x14ac:dyDescent="0.4">
      <c r="H1472" s="1"/>
    </row>
    <row r="1473" spans="8:8" x14ac:dyDescent="0.4">
      <c r="H1473" s="1"/>
    </row>
    <row r="1474" spans="8:8" x14ac:dyDescent="0.4">
      <c r="H1474" s="1"/>
    </row>
    <row r="1475" spans="8:8" x14ac:dyDescent="0.4">
      <c r="H1475" s="1"/>
    </row>
    <row r="1476" spans="8:8" x14ac:dyDescent="0.4">
      <c r="H1476" s="1"/>
    </row>
    <row r="1477" spans="8:8" x14ac:dyDescent="0.4">
      <c r="H1477" s="1"/>
    </row>
    <row r="1478" spans="8:8" x14ac:dyDescent="0.4">
      <c r="H1478" s="1"/>
    </row>
    <row r="1479" spans="8:8" x14ac:dyDescent="0.4">
      <c r="H1479" s="1"/>
    </row>
    <row r="1480" spans="8:8" x14ac:dyDescent="0.4">
      <c r="H1480" s="1"/>
    </row>
    <row r="1481" spans="8:8" x14ac:dyDescent="0.4">
      <c r="H1481" s="1"/>
    </row>
    <row r="1482" spans="8:8" x14ac:dyDescent="0.4">
      <c r="H1482" s="1"/>
    </row>
    <row r="1483" spans="8:8" x14ac:dyDescent="0.4">
      <c r="H1483" s="1"/>
    </row>
    <row r="1484" spans="8:8" x14ac:dyDescent="0.4">
      <c r="H1484" s="1"/>
    </row>
    <row r="1485" spans="8:8" x14ac:dyDescent="0.4">
      <c r="H1485" s="1"/>
    </row>
    <row r="1486" spans="8:8" x14ac:dyDescent="0.4">
      <c r="H1486" s="1"/>
    </row>
    <row r="1487" spans="8:8" x14ac:dyDescent="0.4">
      <c r="H1487" s="1"/>
    </row>
    <row r="1488" spans="8:8" x14ac:dyDescent="0.4">
      <c r="H1488" s="1"/>
    </row>
    <row r="1489" spans="8:8" x14ac:dyDescent="0.4">
      <c r="H1489" s="1"/>
    </row>
    <row r="1490" spans="8:8" x14ac:dyDescent="0.4">
      <c r="H1490" s="1"/>
    </row>
    <row r="1491" spans="8:8" x14ac:dyDescent="0.4">
      <c r="H1491" s="1"/>
    </row>
    <row r="1492" spans="8:8" x14ac:dyDescent="0.4">
      <c r="H1492" s="1"/>
    </row>
    <row r="1493" spans="8:8" x14ac:dyDescent="0.4">
      <c r="H1493" s="1"/>
    </row>
    <row r="1494" spans="8:8" x14ac:dyDescent="0.4">
      <c r="H1494" s="1"/>
    </row>
    <row r="1495" spans="8:8" x14ac:dyDescent="0.4">
      <c r="H1495" s="1"/>
    </row>
    <row r="1496" spans="8:8" x14ac:dyDescent="0.4">
      <c r="H1496" s="1"/>
    </row>
    <row r="1497" spans="8:8" x14ac:dyDescent="0.4">
      <c r="H1497" s="1"/>
    </row>
    <row r="1498" spans="8:8" x14ac:dyDescent="0.4">
      <c r="H1498" s="1"/>
    </row>
    <row r="1499" spans="8:8" x14ac:dyDescent="0.4">
      <c r="H1499" s="1"/>
    </row>
    <row r="1500" spans="8:8" x14ac:dyDescent="0.4">
      <c r="H1500" s="1"/>
    </row>
    <row r="1501" spans="8:8" x14ac:dyDescent="0.4">
      <c r="H1501" s="1"/>
    </row>
    <row r="1502" spans="8:8" x14ac:dyDescent="0.4">
      <c r="H1502" s="1"/>
    </row>
    <row r="1503" spans="8:8" x14ac:dyDescent="0.4">
      <c r="H1503" s="1"/>
    </row>
    <row r="1504" spans="8:8" x14ac:dyDescent="0.4">
      <c r="H1504" s="1"/>
    </row>
    <row r="1505" spans="8:8" x14ac:dyDescent="0.4">
      <c r="H1505" s="1"/>
    </row>
    <row r="1506" spans="8:8" x14ac:dyDescent="0.4">
      <c r="H1506" s="1"/>
    </row>
    <row r="1507" spans="8:8" x14ac:dyDescent="0.4">
      <c r="H1507" s="1"/>
    </row>
    <row r="1508" spans="8:8" x14ac:dyDescent="0.4">
      <c r="H1508" s="1"/>
    </row>
    <row r="1509" spans="8:8" x14ac:dyDescent="0.4">
      <c r="H1509" s="1"/>
    </row>
    <row r="1510" spans="8:8" x14ac:dyDescent="0.4">
      <c r="H1510" s="1"/>
    </row>
    <row r="1511" spans="8:8" x14ac:dyDescent="0.4">
      <c r="H1511" s="1"/>
    </row>
    <row r="1512" spans="8:8" x14ac:dyDescent="0.4">
      <c r="H1512" s="1"/>
    </row>
    <row r="1513" spans="8:8" x14ac:dyDescent="0.4">
      <c r="H1513" s="1"/>
    </row>
    <row r="1514" spans="8:8" x14ac:dyDescent="0.4">
      <c r="H1514" s="1"/>
    </row>
    <row r="1515" spans="8:8" x14ac:dyDescent="0.4">
      <c r="H1515" s="1"/>
    </row>
    <row r="1516" spans="8:8" x14ac:dyDescent="0.4">
      <c r="H1516" s="1"/>
    </row>
    <row r="1517" spans="8:8" x14ac:dyDescent="0.4">
      <c r="H1517" s="1"/>
    </row>
    <row r="1518" spans="8:8" x14ac:dyDescent="0.4">
      <c r="H1518" s="1"/>
    </row>
    <row r="1519" spans="8:8" x14ac:dyDescent="0.4">
      <c r="H1519" s="1"/>
    </row>
    <row r="1520" spans="8:8" x14ac:dyDescent="0.4">
      <c r="H1520" s="1"/>
    </row>
    <row r="1521" spans="8:8" x14ac:dyDescent="0.4">
      <c r="H1521" s="1"/>
    </row>
    <row r="1522" spans="8:8" x14ac:dyDescent="0.4">
      <c r="H1522" s="1"/>
    </row>
    <row r="1523" spans="8:8" x14ac:dyDescent="0.4">
      <c r="H1523" s="1"/>
    </row>
    <row r="1524" spans="8:8" x14ac:dyDescent="0.4">
      <c r="H1524" s="1"/>
    </row>
    <row r="1525" spans="8:8" x14ac:dyDescent="0.4">
      <c r="H1525" s="1"/>
    </row>
    <row r="1526" spans="8:8" x14ac:dyDescent="0.4">
      <c r="H1526" s="1"/>
    </row>
    <row r="1527" spans="8:8" x14ac:dyDescent="0.4">
      <c r="H1527" s="1"/>
    </row>
    <row r="1528" spans="8:8" x14ac:dyDescent="0.4">
      <c r="H1528" s="1"/>
    </row>
    <row r="1529" spans="8:8" x14ac:dyDescent="0.4">
      <c r="H1529" s="1"/>
    </row>
    <row r="1530" spans="8:8" x14ac:dyDescent="0.4">
      <c r="H1530" s="1"/>
    </row>
    <row r="1531" spans="8:8" x14ac:dyDescent="0.4">
      <c r="H1531" s="1"/>
    </row>
    <row r="1532" spans="8:8" x14ac:dyDescent="0.4">
      <c r="H1532" s="1"/>
    </row>
    <row r="1533" spans="8:8" x14ac:dyDescent="0.4">
      <c r="H1533" s="1"/>
    </row>
    <row r="1534" spans="8:8" x14ac:dyDescent="0.4">
      <c r="H1534" s="1"/>
    </row>
    <row r="1535" spans="8:8" x14ac:dyDescent="0.4">
      <c r="H1535" s="1"/>
    </row>
    <row r="1536" spans="8:8" x14ac:dyDescent="0.4">
      <c r="H1536" s="1"/>
    </row>
    <row r="1537" spans="8:8" x14ac:dyDescent="0.4">
      <c r="H1537" s="1"/>
    </row>
    <row r="1538" spans="8:8" x14ac:dyDescent="0.4">
      <c r="H1538" s="1"/>
    </row>
    <row r="1539" spans="8:8" x14ac:dyDescent="0.4">
      <c r="H1539" s="1"/>
    </row>
    <row r="1540" spans="8:8" x14ac:dyDescent="0.4">
      <c r="H1540" s="1"/>
    </row>
    <row r="1541" spans="8:8" x14ac:dyDescent="0.4">
      <c r="H1541" s="1"/>
    </row>
    <row r="1542" spans="8:8" x14ac:dyDescent="0.4">
      <c r="H1542" s="1"/>
    </row>
    <row r="1543" spans="8:8" x14ac:dyDescent="0.4">
      <c r="H1543" s="1"/>
    </row>
    <row r="1544" spans="8:8" x14ac:dyDescent="0.4">
      <c r="H1544" s="1"/>
    </row>
    <row r="1545" spans="8:8" x14ac:dyDescent="0.4">
      <c r="H1545" s="1"/>
    </row>
    <row r="1546" spans="8:8" x14ac:dyDescent="0.4">
      <c r="H1546" s="1"/>
    </row>
    <row r="1547" spans="8:8" x14ac:dyDescent="0.4">
      <c r="H1547" s="1"/>
    </row>
    <row r="1548" spans="8:8" x14ac:dyDescent="0.4">
      <c r="H1548" s="1"/>
    </row>
    <row r="1549" spans="8:8" x14ac:dyDescent="0.4">
      <c r="H1549" s="1"/>
    </row>
    <row r="1550" spans="8:8" x14ac:dyDescent="0.4">
      <c r="H1550" s="1"/>
    </row>
    <row r="1551" spans="8:8" x14ac:dyDescent="0.4">
      <c r="H1551" s="1"/>
    </row>
    <row r="1552" spans="8:8" x14ac:dyDescent="0.4">
      <c r="H1552" s="1"/>
    </row>
    <row r="1553" spans="8:8" x14ac:dyDescent="0.4">
      <c r="H1553" s="1"/>
    </row>
    <row r="1554" spans="8:8" x14ac:dyDescent="0.4">
      <c r="H1554" s="1"/>
    </row>
    <row r="1555" spans="8:8" x14ac:dyDescent="0.4">
      <c r="H1555" s="1"/>
    </row>
    <row r="1556" spans="8:8" x14ac:dyDescent="0.4">
      <c r="H1556" s="1"/>
    </row>
    <row r="1557" spans="8:8" x14ac:dyDescent="0.4">
      <c r="H1557" s="1"/>
    </row>
    <row r="1558" spans="8:8" x14ac:dyDescent="0.4">
      <c r="H1558" s="1"/>
    </row>
    <row r="1559" spans="8:8" x14ac:dyDescent="0.4">
      <c r="H1559" s="1"/>
    </row>
    <row r="1560" spans="8:8" x14ac:dyDescent="0.4">
      <c r="H1560" s="1"/>
    </row>
    <row r="1561" spans="8:8" x14ac:dyDescent="0.4">
      <c r="H1561" s="1"/>
    </row>
    <row r="1562" spans="8:8" x14ac:dyDescent="0.4">
      <c r="H1562" s="1"/>
    </row>
    <row r="1563" spans="8:8" x14ac:dyDescent="0.4">
      <c r="H1563" s="1"/>
    </row>
    <row r="1564" spans="8:8" x14ac:dyDescent="0.4">
      <c r="H1564" s="1"/>
    </row>
    <row r="1565" spans="8:8" x14ac:dyDescent="0.4">
      <c r="H1565" s="1"/>
    </row>
    <row r="1566" spans="8:8" x14ac:dyDescent="0.4">
      <c r="H1566" s="1"/>
    </row>
    <row r="1567" spans="8:8" x14ac:dyDescent="0.4">
      <c r="H1567" s="1"/>
    </row>
    <row r="1568" spans="8:8" x14ac:dyDescent="0.4">
      <c r="H1568" s="1"/>
    </row>
    <row r="1569" spans="8:8" x14ac:dyDescent="0.4">
      <c r="H1569" s="1"/>
    </row>
    <row r="1570" spans="8:8" x14ac:dyDescent="0.4">
      <c r="H1570" s="1"/>
    </row>
    <row r="1571" spans="8:8" x14ac:dyDescent="0.4">
      <c r="H1571" s="1"/>
    </row>
    <row r="1572" spans="8:8" x14ac:dyDescent="0.4">
      <c r="H1572" s="1"/>
    </row>
    <row r="1573" spans="8:8" x14ac:dyDescent="0.4">
      <c r="H1573" s="1"/>
    </row>
    <row r="1574" spans="8:8" x14ac:dyDescent="0.4">
      <c r="H1574" s="1"/>
    </row>
    <row r="1575" spans="8:8" x14ac:dyDescent="0.4">
      <c r="H1575" s="1"/>
    </row>
    <row r="1576" spans="8:8" x14ac:dyDescent="0.4">
      <c r="H1576" s="1"/>
    </row>
    <row r="1577" spans="8:8" x14ac:dyDescent="0.4">
      <c r="H1577" s="1"/>
    </row>
    <row r="1578" spans="8:8" x14ac:dyDescent="0.4">
      <c r="H1578" s="1"/>
    </row>
    <row r="1579" spans="8:8" x14ac:dyDescent="0.4">
      <c r="H1579" s="1"/>
    </row>
    <row r="1580" spans="8:8" x14ac:dyDescent="0.4">
      <c r="H1580" s="1"/>
    </row>
    <row r="1581" spans="8:8" x14ac:dyDescent="0.4">
      <c r="H1581" s="1"/>
    </row>
    <row r="1582" spans="8:8" x14ac:dyDescent="0.4">
      <c r="H1582" s="1"/>
    </row>
    <row r="1583" spans="8:8" x14ac:dyDescent="0.4">
      <c r="H1583" s="1"/>
    </row>
    <row r="1584" spans="8:8" x14ac:dyDescent="0.4">
      <c r="H1584" s="1"/>
    </row>
    <row r="1585" spans="8:8" x14ac:dyDescent="0.4">
      <c r="H1585" s="1"/>
    </row>
    <row r="1586" spans="8:8" x14ac:dyDescent="0.4">
      <c r="H1586" s="1"/>
    </row>
    <row r="1587" spans="8:8" x14ac:dyDescent="0.4">
      <c r="H1587" s="1"/>
    </row>
    <row r="1588" spans="8:8" x14ac:dyDescent="0.4">
      <c r="H1588" s="1"/>
    </row>
    <row r="1589" spans="8:8" x14ac:dyDescent="0.4">
      <c r="H1589" s="1"/>
    </row>
    <row r="1590" spans="8:8" x14ac:dyDescent="0.4">
      <c r="H1590" s="1"/>
    </row>
    <row r="1591" spans="8:8" x14ac:dyDescent="0.4">
      <c r="H1591" s="1"/>
    </row>
    <row r="1592" spans="8:8" x14ac:dyDescent="0.4">
      <c r="H1592" s="1"/>
    </row>
    <row r="1593" spans="8:8" x14ac:dyDescent="0.4">
      <c r="H1593" s="1"/>
    </row>
    <row r="1594" spans="8:8" x14ac:dyDescent="0.4">
      <c r="H1594" s="1"/>
    </row>
    <row r="1595" spans="8:8" x14ac:dyDescent="0.4">
      <c r="H1595" s="1"/>
    </row>
    <row r="1596" spans="8:8" x14ac:dyDescent="0.4">
      <c r="H1596" s="1"/>
    </row>
    <row r="1597" spans="8:8" x14ac:dyDescent="0.4">
      <c r="H1597" s="1"/>
    </row>
    <row r="1598" spans="8:8" x14ac:dyDescent="0.4">
      <c r="H1598" s="1"/>
    </row>
    <row r="1599" spans="8:8" x14ac:dyDescent="0.4">
      <c r="H1599" s="1"/>
    </row>
    <row r="1600" spans="8:8" x14ac:dyDescent="0.4">
      <c r="H1600" s="1"/>
    </row>
    <row r="1601" spans="8:8" x14ac:dyDescent="0.4">
      <c r="H1601" s="1"/>
    </row>
    <row r="1602" spans="8:8" x14ac:dyDescent="0.4">
      <c r="H1602" s="1"/>
    </row>
    <row r="1603" spans="8:8" x14ac:dyDescent="0.4">
      <c r="H1603" s="1"/>
    </row>
    <row r="1604" spans="8:8" x14ac:dyDescent="0.4">
      <c r="H1604" s="1"/>
    </row>
    <row r="1605" spans="8:8" x14ac:dyDescent="0.4">
      <c r="H1605" s="1"/>
    </row>
    <row r="1606" spans="8:8" x14ac:dyDescent="0.4">
      <c r="H1606" s="1"/>
    </row>
    <row r="1607" spans="8:8" x14ac:dyDescent="0.4">
      <c r="H1607" s="1"/>
    </row>
    <row r="1608" spans="8:8" x14ac:dyDescent="0.4">
      <c r="H1608" s="1"/>
    </row>
    <row r="1609" spans="8:8" x14ac:dyDescent="0.4">
      <c r="H1609" s="1"/>
    </row>
    <row r="1610" spans="8:8" x14ac:dyDescent="0.4">
      <c r="H1610" s="1"/>
    </row>
    <row r="1611" spans="8:8" x14ac:dyDescent="0.4">
      <c r="H1611" s="1"/>
    </row>
    <row r="1612" spans="8:8" x14ac:dyDescent="0.4">
      <c r="H1612" s="1"/>
    </row>
    <row r="1613" spans="8:8" x14ac:dyDescent="0.4">
      <c r="H1613" s="1"/>
    </row>
    <row r="1614" spans="8:8" x14ac:dyDescent="0.4">
      <c r="H1614" s="1"/>
    </row>
    <row r="1615" spans="8:8" x14ac:dyDescent="0.4">
      <c r="H1615" s="1"/>
    </row>
    <row r="1616" spans="8:8" x14ac:dyDescent="0.4">
      <c r="H1616" s="1"/>
    </row>
    <row r="1617" spans="8:8" x14ac:dyDescent="0.4">
      <c r="H1617" s="1"/>
    </row>
    <row r="1618" spans="8:8" x14ac:dyDescent="0.4">
      <c r="H1618" s="1"/>
    </row>
    <row r="1619" spans="8:8" x14ac:dyDescent="0.4">
      <c r="H1619" s="1"/>
    </row>
    <row r="1620" spans="8:8" x14ac:dyDescent="0.4">
      <c r="H1620" s="1"/>
    </row>
    <row r="1621" spans="8:8" x14ac:dyDescent="0.4">
      <c r="H1621" s="1"/>
    </row>
    <row r="1622" spans="8:8" x14ac:dyDescent="0.4">
      <c r="H1622" s="1"/>
    </row>
    <row r="1623" spans="8:8" x14ac:dyDescent="0.4">
      <c r="H1623" s="1"/>
    </row>
    <row r="1624" spans="8:8" x14ac:dyDescent="0.4">
      <c r="H1624" s="1"/>
    </row>
    <row r="1625" spans="8:8" x14ac:dyDescent="0.4">
      <c r="H1625" s="1"/>
    </row>
    <row r="1626" spans="8:8" x14ac:dyDescent="0.4">
      <c r="H1626" s="1"/>
    </row>
    <row r="1627" spans="8:8" x14ac:dyDescent="0.4">
      <c r="H1627" s="1"/>
    </row>
    <row r="1628" spans="8:8" x14ac:dyDescent="0.4">
      <c r="H1628" s="1"/>
    </row>
    <row r="1629" spans="8:8" x14ac:dyDescent="0.4">
      <c r="H1629" s="1"/>
    </row>
    <row r="1630" spans="8:8" x14ac:dyDescent="0.4">
      <c r="H1630" s="1"/>
    </row>
    <row r="1631" spans="8:8" x14ac:dyDescent="0.4">
      <c r="H1631" s="1"/>
    </row>
    <row r="1632" spans="8:8" x14ac:dyDescent="0.4">
      <c r="H1632" s="1"/>
    </row>
    <row r="1633" spans="8:8" x14ac:dyDescent="0.4">
      <c r="H1633" s="1"/>
    </row>
    <row r="1634" spans="8:8" x14ac:dyDescent="0.4">
      <c r="H1634" s="1"/>
    </row>
    <row r="1635" spans="8:8" x14ac:dyDescent="0.4">
      <c r="H1635" s="1"/>
    </row>
    <row r="1636" spans="8:8" x14ac:dyDescent="0.4">
      <c r="H1636" s="1"/>
    </row>
    <row r="1637" spans="8:8" x14ac:dyDescent="0.4">
      <c r="H1637" s="1"/>
    </row>
    <row r="1638" spans="8:8" x14ac:dyDescent="0.4">
      <c r="H1638" s="1"/>
    </row>
    <row r="1639" spans="8:8" x14ac:dyDescent="0.4">
      <c r="H1639" s="1"/>
    </row>
    <row r="1640" spans="8:8" x14ac:dyDescent="0.4">
      <c r="H1640" s="1"/>
    </row>
    <row r="1641" spans="8:8" x14ac:dyDescent="0.4">
      <c r="H1641" s="1"/>
    </row>
    <row r="1642" spans="8:8" x14ac:dyDescent="0.4">
      <c r="H1642" s="1"/>
    </row>
    <row r="1643" spans="8:8" x14ac:dyDescent="0.4">
      <c r="H1643" s="1"/>
    </row>
    <row r="1644" spans="8:8" x14ac:dyDescent="0.4">
      <c r="H1644" s="1"/>
    </row>
    <row r="1645" spans="8:8" x14ac:dyDescent="0.4">
      <c r="H1645" s="1"/>
    </row>
    <row r="1646" spans="8:8" x14ac:dyDescent="0.4">
      <c r="H1646" s="1"/>
    </row>
    <row r="1647" spans="8:8" x14ac:dyDescent="0.4">
      <c r="H1647" s="1"/>
    </row>
    <row r="1648" spans="8:8" x14ac:dyDescent="0.4">
      <c r="H1648" s="1"/>
    </row>
    <row r="1649" spans="8:8" x14ac:dyDescent="0.4">
      <c r="H1649" s="1"/>
    </row>
    <row r="1650" spans="8:8" x14ac:dyDescent="0.4">
      <c r="H1650" s="1"/>
    </row>
    <row r="1651" spans="8:8" x14ac:dyDescent="0.4">
      <c r="H1651" s="1"/>
    </row>
    <row r="1652" spans="8:8" x14ac:dyDescent="0.4">
      <c r="H1652" s="1"/>
    </row>
    <row r="1653" spans="8:8" x14ac:dyDescent="0.4">
      <c r="H1653" s="1"/>
    </row>
    <row r="1654" spans="8:8" x14ac:dyDescent="0.4">
      <c r="H1654" s="1"/>
    </row>
    <row r="1655" spans="8:8" x14ac:dyDescent="0.4">
      <c r="H1655" s="1"/>
    </row>
    <row r="1656" spans="8:8" x14ac:dyDescent="0.4">
      <c r="H1656" s="1"/>
    </row>
    <row r="1657" spans="8:8" x14ac:dyDescent="0.4">
      <c r="H1657" s="1"/>
    </row>
    <row r="1658" spans="8:8" x14ac:dyDescent="0.4">
      <c r="H1658" s="1"/>
    </row>
    <row r="1659" spans="8:8" x14ac:dyDescent="0.4">
      <c r="H1659" s="1"/>
    </row>
    <row r="1660" spans="8:8" x14ac:dyDescent="0.4">
      <c r="H1660" s="1"/>
    </row>
    <row r="1661" spans="8:8" x14ac:dyDescent="0.4">
      <c r="H1661" s="1"/>
    </row>
    <row r="1662" spans="8:8" x14ac:dyDescent="0.4">
      <c r="H1662" s="1"/>
    </row>
    <row r="1663" spans="8:8" x14ac:dyDescent="0.4">
      <c r="H1663" s="1"/>
    </row>
    <row r="1664" spans="8:8" x14ac:dyDescent="0.4">
      <c r="H1664" s="1"/>
    </row>
    <row r="1665" spans="8:8" x14ac:dyDescent="0.4">
      <c r="H1665" s="1"/>
    </row>
    <row r="1666" spans="8:8" x14ac:dyDescent="0.4">
      <c r="H1666" s="1"/>
    </row>
    <row r="1667" spans="8:8" x14ac:dyDescent="0.4">
      <c r="H1667" s="1"/>
    </row>
    <row r="1668" spans="8:8" x14ac:dyDescent="0.4">
      <c r="H1668" s="1"/>
    </row>
    <row r="1669" spans="8:8" x14ac:dyDescent="0.4">
      <c r="H1669" s="1"/>
    </row>
    <row r="1670" spans="8:8" x14ac:dyDescent="0.4">
      <c r="H1670" s="1"/>
    </row>
    <row r="1671" spans="8:8" x14ac:dyDescent="0.4">
      <c r="H1671" s="1"/>
    </row>
    <row r="1672" spans="8:8" x14ac:dyDescent="0.4">
      <c r="H1672" s="1"/>
    </row>
    <row r="1673" spans="8:8" x14ac:dyDescent="0.4">
      <c r="H1673" s="1"/>
    </row>
    <row r="1674" spans="8:8" x14ac:dyDescent="0.4">
      <c r="H1674" s="1"/>
    </row>
    <row r="1675" spans="8:8" x14ac:dyDescent="0.4">
      <c r="H1675" s="1"/>
    </row>
    <row r="1676" spans="8:8" x14ac:dyDescent="0.4">
      <c r="H1676" s="1"/>
    </row>
    <row r="1677" spans="8:8" x14ac:dyDescent="0.4">
      <c r="H1677" s="1"/>
    </row>
    <row r="1678" spans="8:8" x14ac:dyDescent="0.4">
      <c r="H1678" s="1"/>
    </row>
    <row r="1679" spans="8:8" x14ac:dyDescent="0.4">
      <c r="H1679" s="1"/>
    </row>
    <row r="1680" spans="8:8" x14ac:dyDescent="0.4">
      <c r="H1680" s="1"/>
    </row>
    <row r="1681" spans="8:8" x14ac:dyDescent="0.4">
      <c r="H1681" s="1"/>
    </row>
    <row r="1682" spans="8:8" x14ac:dyDescent="0.4">
      <c r="H1682" s="1"/>
    </row>
    <row r="1683" spans="8:8" x14ac:dyDescent="0.4">
      <c r="H1683" s="1"/>
    </row>
    <row r="1684" spans="8:8" x14ac:dyDescent="0.4">
      <c r="H1684" s="1"/>
    </row>
    <row r="1685" spans="8:8" x14ac:dyDescent="0.4">
      <c r="H1685" s="1"/>
    </row>
    <row r="1686" spans="8:8" x14ac:dyDescent="0.4">
      <c r="H1686" s="1"/>
    </row>
    <row r="1687" spans="8:8" x14ac:dyDescent="0.4">
      <c r="H1687" s="1"/>
    </row>
    <row r="1688" spans="8:8" x14ac:dyDescent="0.4">
      <c r="H1688" s="1"/>
    </row>
    <row r="1689" spans="8:8" x14ac:dyDescent="0.4">
      <c r="H1689" s="1"/>
    </row>
    <row r="1690" spans="8:8" x14ac:dyDescent="0.4">
      <c r="H1690" s="1"/>
    </row>
    <row r="1691" spans="8:8" x14ac:dyDescent="0.4">
      <c r="H1691" s="1"/>
    </row>
    <row r="1692" spans="8:8" x14ac:dyDescent="0.4">
      <c r="H1692" s="1"/>
    </row>
    <row r="1693" spans="8:8" x14ac:dyDescent="0.4">
      <c r="H1693" s="1"/>
    </row>
    <row r="1694" spans="8:8" x14ac:dyDescent="0.4">
      <c r="H1694" s="1"/>
    </row>
    <row r="1695" spans="8:8" x14ac:dyDescent="0.4">
      <c r="H1695" s="1"/>
    </row>
    <row r="1696" spans="8:8" x14ac:dyDescent="0.4">
      <c r="H1696" s="1"/>
    </row>
    <row r="1697" spans="8:8" x14ac:dyDescent="0.4">
      <c r="H1697" s="1"/>
    </row>
    <row r="1698" spans="8:8" x14ac:dyDescent="0.4">
      <c r="H1698" s="1"/>
    </row>
    <row r="1699" spans="8:8" x14ac:dyDescent="0.4">
      <c r="H1699" s="1"/>
    </row>
    <row r="1700" spans="8:8" x14ac:dyDescent="0.4">
      <c r="H1700" s="1"/>
    </row>
    <row r="1701" spans="8:8" x14ac:dyDescent="0.4">
      <c r="H1701" s="1"/>
    </row>
    <row r="1702" spans="8:8" x14ac:dyDescent="0.4">
      <c r="H1702" s="1"/>
    </row>
    <row r="1703" spans="8:8" x14ac:dyDescent="0.4">
      <c r="H1703" s="1"/>
    </row>
    <row r="1704" spans="8:8" x14ac:dyDescent="0.4">
      <c r="H1704" s="1"/>
    </row>
    <row r="1705" spans="8:8" x14ac:dyDescent="0.4">
      <c r="H1705" s="1"/>
    </row>
    <row r="1706" spans="8:8" x14ac:dyDescent="0.4">
      <c r="H1706" s="1"/>
    </row>
    <row r="1707" spans="8:8" x14ac:dyDescent="0.4">
      <c r="H1707" s="1"/>
    </row>
    <row r="1708" spans="8:8" x14ac:dyDescent="0.4">
      <c r="H1708" s="1"/>
    </row>
    <row r="1709" spans="8:8" x14ac:dyDescent="0.4">
      <c r="H1709" s="1"/>
    </row>
    <row r="1710" spans="8:8" x14ac:dyDescent="0.4">
      <c r="H1710" s="1"/>
    </row>
    <row r="1711" spans="8:8" x14ac:dyDescent="0.4">
      <c r="H1711" s="1"/>
    </row>
    <row r="1712" spans="8:8" x14ac:dyDescent="0.4">
      <c r="H1712" s="1"/>
    </row>
    <row r="1713" spans="8:8" x14ac:dyDescent="0.4">
      <c r="H1713" s="1"/>
    </row>
    <row r="1714" spans="8:8" x14ac:dyDescent="0.4">
      <c r="H1714" s="1"/>
    </row>
    <row r="1715" spans="8:8" x14ac:dyDescent="0.4">
      <c r="H1715" s="1"/>
    </row>
    <row r="1716" spans="8:8" x14ac:dyDescent="0.4">
      <c r="H1716" s="1"/>
    </row>
    <row r="1717" spans="8:8" x14ac:dyDescent="0.4">
      <c r="H1717" s="1"/>
    </row>
    <row r="1718" spans="8:8" x14ac:dyDescent="0.4">
      <c r="H1718" s="1"/>
    </row>
    <row r="1719" spans="8:8" x14ac:dyDescent="0.4">
      <c r="H1719" s="1"/>
    </row>
    <row r="1720" spans="8:8" x14ac:dyDescent="0.4">
      <c r="H1720" s="1"/>
    </row>
    <row r="1721" spans="8:8" x14ac:dyDescent="0.4">
      <c r="H1721" s="1"/>
    </row>
    <row r="1722" spans="8:8" x14ac:dyDescent="0.4">
      <c r="H1722" s="1"/>
    </row>
    <row r="1723" spans="8:8" x14ac:dyDescent="0.4">
      <c r="H1723" s="1"/>
    </row>
    <row r="1724" spans="8:8" x14ac:dyDescent="0.4">
      <c r="H1724" s="1"/>
    </row>
    <row r="1725" spans="8:8" x14ac:dyDescent="0.4">
      <c r="H1725" s="1"/>
    </row>
    <row r="1726" spans="8:8" x14ac:dyDescent="0.4">
      <c r="H1726" s="1"/>
    </row>
    <row r="1727" spans="8:8" x14ac:dyDescent="0.4">
      <c r="H1727" s="1"/>
    </row>
    <row r="1728" spans="8:8" x14ac:dyDescent="0.4">
      <c r="H1728" s="1"/>
    </row>
    <row r="1729" spans="8:8" x14ac:dyDescent="0.4">
      <c r="H1729" s="1"/>
    </row>
    <row r="1730" spans="8:8" x14ac:dyDescent="0.4">
      <c r="H1730" s="1"/>
    </row>
    <row r="1731" spans="8:8" x14ac:dyDescent="0.4">
      <c r="H1731" s="1"/>
    </row>
    <row r="1732" spans="8:8" x14ac:dyDescent="0.4">
      <c r="H1732" s="1"/>
    </row>
    <row r="1733" spans="8:8" x14ac:dyDescent="0.4">
      <c r="H1733" s="1"/>
    </row>
    <row r="1734" spans="8:8" x14ac:dyDescent="0.4">
      <c r="H1734" s="1"/>
    </row>
    <row r="1735" spans="8:8" x14ac:dyDescent="0.4">
      <c r="H1735" s="1"/>
    </row>
    <row r="1736" spans="8:8" x14ac:dyDescent="0.4">
      <c r="H1736" s="1"/>
    </row>
    <row r="1737" spans="8:8" x14ac:dyDescent="0.4">
      <c r="H1737" s="1"/>
    </row>
    <row r="1738" spans="8:8" x14ac:dyDescent="0.4">
      <c r="H1738" s="1"/>
    </row>
    <row r="1739" spans="8:8" x14ac:dyDescent="0.4">
      <c r="H1739" s="1"/>
    </row>
    <row r="1740" spans="8:8" x14ac:dyDescent="0.4">
      <c r="H1740" s="1"/>
    </row>
    <row r="1741" spans="8:8" x14ac:dyDescent="0.4">
      <c r="H1741" s="1"/>
    </row>
    <row r="1742" spans="8:8" x14ac:dyDescent="0.4">
      <c r="H1742" s="1"/>
    </row>
    <row r="1743" spans="8:8" x14ac:dyDescent="0.4">
      <c r="H1743" s="1"/>
    </row>
    <row r="1744" spans="8:8" x14ac:dyDescent="0.4">
      <c r="H1744" s="1"/>
    </row>
    <row r="1745" spans="8:8" x14ac:dyDescent="0.4">
      <c r="H1745" s="1"/>
    </row>
    <row r="1746" spans="8:8" x14ac:dyDescent="0.4">
      <c r="H1746" s="1"/>
    </row>
    <row r="1747" spans="8:8" x14ac:dyDescent="0.4">
      <c r="H1747" s="1"/>
    </row>
    <row r="1748" spans="8:8" x14ac:dyDescent="0.4">
      <c r="H1748" s="1"/>
    </row>
    <row r="1749" spans="8:8" x14ac:dyDescent="0.4">
      <c r="H1749" s="1"/>
    </row>
    <row r="1750" spans="8:8" x14ac:dyDescent="0.4">
      <c r="H1750" s="1"/>
    </row>
    <row r="1751" spans="8:8" x14ac:dyDescent="0.4">
      <c r="H1751" s="1"/>
    </row>
    <row r="1752" spans="8:8" x14ac:dyDescent="0.4">
      <c r="H1752" s="1"/>
    </row>
    <row r="1753" spans="8:8" x14ac:dyDescent="0.4">
      <c r="H1753" s="1"/>
    </row>
    <row r="1754" spans="8:8" x14ac:dyDescent="0.4">
      <c r="H1754" s="1"/>
    </row>
    <row r="1755" spans="8:8" x14ac:dyDescent="0.4">
      <c r="H1755" s="1"/>
    </row>
    <row r="1756" spans="8:8" x14ac:dyDescent="0.4">
      <c r="H1756" s="1"/>
    </row>
    <row r="1757" spans="8:8" x14ac:dyDescent="0.4">
      <c r="H1757" s="1"/>
    </row>
    <row r="1758" spans="8:8" x14ac:dyDescent="0.4">
      <c r="H1758" s="1"/>
    </row>
    <row r="1759" spans="8:8" x14ac:dyDescent="0.4">
      <c r="H1759" s="1"/>
    </row>
    <row r="1760" spans="8:8" x14ac:dyDescent="0.4">
      <c r="H1760" s="1"/>
    </row>
    <row r="1761" spans="8:8" x14ac:dyDescent="0.4">
      <c r="H1761" s="1"/>
    </row>
    <row r="1762" spans="8:8" x14ac:dyDescent="0.4">
      <c r="H1762" s="1"/>
    </row>
    <row r="1763" spans="8:8" x14ac:dyDescent="0.4">
      <c r="H1763" s="1"/>
    </row>
    <row r="1764" spans="8:8" x14ac:dyDescent="0.4">
      <c r="H1764" s="1"/>
    </row>
    <row r="1765" spans="8:8" x14ac:dyDescent="0.4">
      <c r="H1765" s="1"/>
    </row>
    <row r="1766" spans="8:8" x14ac:dyDescent="0.4">
      <c r="H1766" s="1"/>
    </row>
    <row r="1767" spans="8:8" x14ac:dyDescent="0.4">
      <c r="H1767" s="1"/>
    </row>
    <row r="1768" spans="8:8" x14ac:dyDescent="0.4">
      <c r="H1768" s="1"/>
    </row>
    <row r="1769" spans="8:8" x14ac:dyDescent="0.4">
      <c r="H1769" s="1"/>
    </row>
    <row r="1770" spans="8:8" x14ac:dyDescent="0.4">
      <c r="H1770" s="1"/>
    </row>
    <row r="1771" spans="8:8" x14ac:dyDescent="0.4">
      <c r="H1771" s="1"/>
    </row>
    <row r="1772" spans="8:8" x14ac:dyDescent="0.4">
      <c r="H1772" s="1"/>
    </row>
    <row r="1773" spans="8:8" x14ac:dyDescent="0.4">
      <c r="H1773" s="1"/>
    </row>
    <row r="1774" spans="8:8" x14ac:dyDescent="0.4">
      <c r="H1774" s="1"/>
    </row>
    <row r="1775" spans="8:8" x14ac:dyDescent="0.4">
      <c r="H1775" s="1"/>
    </row>
    <row r="1776" spans="8:8" x14ac:dyDescent="0.4">
      <c r="H1776" s="1"/>
    </row>
    <row r="1777" spans="8:8" x14ac:dyDescent="0.4">
      <c r="H1777" s="1"/>
    </row>
    <row r="1778" spans="8:8" x14ac:dyDescent="0.4">
      <c r="H1778" s="1"/>
    </row>
    <row r="1779" spans="8:8" x14ac:dyDescent="0.4">
      <c r="H1779" s="1"/>
    </row>
    <row r="1780" spans="8:8" x14ac:dyDescent="0.4">
      <c r="H1780" s="1"/>
    </row>
    <row r="1781" spans="8:8" x14ac:dyDescent="0.4">
      <c r="H1781" s="1"/>
    </row>
    <row r="1782" spans="8:8" x14ac:dyDescent="0.4">
      <c r="H1782" s="1"/>
    </row>
    <row r="1783" spans="8:8" x14ac:dyDescent="0.4">
      <c r="H1783" s="1"/>
    </row>
    <row r="1784" spans="8:8" x14ac:dyDescent="0.4">
      <c r="H1784" s="1"/>
    </row>
    <row r="1785" spans="8:8" x14ac:dyDescent="0.4">
      <c r="H1785" s="1"/>
    </row>
    <row r="1786" spans="8:8" x14ac:dyDescent="0.4">
      <c r="H1786" s="1"/>
    </row>
    <row r="1787" spans="8:8" x14ac:dyDescent="0.4">
      <c r="H1787" s="1"/>
    </row>
    <row r="1788" spans="8:8" x14ac:dyDescent="0.4">
      <c r="H1788" s="1"/>
    </row>
    <row r="1789" spans="8:8" x14ac:dyDescent="0.4">
      <c r="H1789" s="1"/>
    </row>
    <row r="1790" spans="8:8" x14ac:dyDescent="0.4">
      <c r="H1790" s="1"/>
    </row>
    <row r="1791" spans="8:8" x14ac:dyDescent="0.4">
      <c r="H1791" s="1"/>
    </row>
    <row r="1792" spans="8:8" x14ac:dyDescent="0.4">
      <c r="H1792" s="1"/>
    </row>
    <row r="1793" spans="8:8" x14ac:dyDescent="0.4">
      <c r="H1793" s="1"/>
    </row>
    <row r="1794" spans="8:8" x14ac:dyDescent="0.4">
      <c r="H1794" s="1"/>
    </row>
    <row r="1795" spans="8:8" x14ac:dyDescent="0.4">
      <c r="H1795" s="1"/>
    </row>
    <row r="1796" spans="8:8" x14ac:dyDescent="0.4">
      <c r="H1796" s="1"/>
    </row>
    <row r="1797" spans="8:8" x14ac:dyDescent="0.4">
      <c r="H1797" s="1"/>
    </row>
    <row r="1798" spans="8:8" x14ac:dyDescent="0.4">
      <c r="H1798" s="1"/>
    </row>
    <row r="1799" spans="8:8" x14ac:dyDescent="0.4">
      <c r="H1799" s="1"/>
    </row>
    <row r="1800" spans="8:8" x14ac:dyDescent="0.4">
      <c r="H1800" s="1"/>
    </row>
    <row r="1801" spans="8:8" x14ac:dyDescent="0.4">
      <c r="H1801" s="1"/>
    </row>
    <row r="1802" spans="8:8" x14ac:dyDescent="0.4">
      <c r="H1802" s="1"/>
    </row>
    <row r="1803" spans="8:8" x14ac:dyDescent="0.4">
      <c r="H1803" s="1"/>
    </row>
    <row r="1804" spans="8:8" x14ac:dyDescent="0.4">
      <c r="H1804" s="1"/>
    </row>
    <row r="1805" spans="8:8" x14ac:dyDescent="0.4">
      <c r="H1805" s="1"/>
    </row>
    <row r="1806" spans="8:8" x14ac:dyDescent="0.4">
      <c r="H1806" s="1"/>
    </row>
    <row r="1807" spans="8:8" x14ac:dyDescent="0.4">
      <c r="H1807" s="1"/>
    </row>
    <row r="1808" spans="8:8" x14ac:dyDescent="0.4">
      <c r="H1808" s="1"/>
    </row>
    <row r="1809" spans="8:8" x14ac:dyDescent="0.4">
      <c r="H1809" s="1"/>
    </row>
    <row r="1810" spans="8:8" x14ac:dyDescent="0.4">
      <c r="H1810" s="1"/>
    </row>
    <row r="1811" spans="8:8" x14ac:dyDescent="0.4">
      <c r="H1811" s="1"/>
    </row>
    <row r="1812" spans="8:8" x14ac:dyDescent="0.4">
      <c r="H1812" s="1"/>
    </row>
    <row r="1813" spans="8:8" x14ac:dyDescent="0.4">
      <c r="H1813" s="1"/>
    </row>
    <row r="1814" spans="8:8" x14ac:dyDescent="0.4">
      <c r="H1814" s="1"/>
    </row>
    <row r="1815" spans="8:8" x14ac:dyDescent="0.4">
      <c r="H1815" s="1"/>
    </row>
    <row r="1816" spans="8:8" x14ac:dyDescent="0.4">
      <c r="H1816" s="1"/>
    </row>
    <row r="1817" spans="8:8" x14ac:dyDescent="0.4">
      <c r="H1817" s="1"/>
    </row>
    <row r="1818" spans="8:8" x14ac:dyDescent="0.4">
      <c r="H1818" s="1"/>
    </row>
    <row r="1819" spans="8:8" x14ac:dyDescent="0.4">
      <c r="H1819" s="1"/>
    </row>
    <row r="1820" spans="8:8" x14ac:dyDescent="0.4">
      <c r="H1820" s="1"/>
    </row>
    <row r="1821" spans="8:8" x14ac:dyDescent="0.4">
      <c r="H1821" s="1"/>
    </row>
    <row r="1822" spans="8:8" x14ac:dyDescent="0.4">
      <c r="H1822" s="1"/>
    </row>
    <row r="1823" spans="8:8" x14ac:dyDescent="0.4">
      <c r="H1823" s="1"/>
    </row>
    <row r="1824" spans="8:8" x14ac:dyDescent="0.4">
      <c r="H1824" s="1"/>
    </row>
    <row r="1825" spans="8:8" x14ac:dyDescent="0.4">
      <c r="H1825" s="1"/>
    </row>
    <row r="1826" spans="8:8" x14ac:dyDescent="0.4">
      <c r="H1826" s="1"/>
    </row>
    <row r="1827" spans="8:8" x14ac:dyDescent="0.4">
      <c r="H1827" s="1"/>
    </row>
    <row r="1828" spans="8:8" x14ac:dyDescent="0.4">
      <c r="H1828" s="1"/>
    </row>
    <row r="1829" spans="8:8" x14ac:dyDescent="0.4">
      <c r="H1829" s="1"/>
    </row>
    <row r="1830" spans="8:8" x14ac:dyDescent="0.4">
      <c r="H1830" s="1"/>
    </row>
    <row r="1831" spans="8:8" x14ac:dyDescent="0.4">
      <c r="H1831" s="1"/>
    </row>
    <row r="1832" spans="8:8" x14ac:dyDescent="0.4">
      <c r="H1832" s="1"/>
    </row>
    <row r="1833" spans="8:8" x14ac:dyDescent="0.4">
      <c r="H1833" s="1"/>
    </row>
    <row r="1834" spans="8:8" x14ac:dyDescent="0.4">
      <c r="H1834" s="1"/>
    </row>
    <row r="1835" spans="8:8" x14ac:dyDescent="0.4">
      <c r="H1835" s="1"/>
    </row>
    <row r="1836" spans="8:8" x14ac:dyDescent="0.4">
      <c r="H1836" s="1"/>
    </row>
    <row r="1837" spans="8:8" x14ac:dyDescent="0.4">
      <c r="H1837" s="1"/>
    </row>
    <row r="1838" spans="8:8" x14ac:dyDescent="0.4">
      <c r="H1838" s="1"/>
    </row>
    <row r="1839" spans="8:8" x14ac:dyDescent="0.4">
      <c r="H1839" s="1"/>
    </row>
    <row r="1840" spans="8:8" x14ac:dyDescent="0.4">
      <c r="H1840" s="1"/>
    </row>
    <row r="1841" spans="8:8" x14ac:dyDescent="0.4">
      <c r="H1841" s="1"/>
    </row>
    <row r="1842" spans="8:8" x14ac:dyDescent="0.4">
      <c r="H1842" s="1"/>
    </row>
    <row r="1843" spans="8:8" x14ac:dyDescent="0.4">
      <c r="H1843" s="1"/>
    </row>
    <row r="1844" spans="8:8" x14ac:dyDescent="0.4">
      <c r="H1844" s="1"/>
    </row>
    <row r="1845" spans="8:8" x14ac:dyDescent="0.4">
      <c r="H1845" s="1"/>
    </row>
    <row r="1846" spans="8:8" x14ac:dyDescent="0.4">
      <c r="H1846" s="1"/>
    </row>
    <row r="1847" spans="8:8" x14ac:dyDescent="0.4">
      <c r="H1847" s="1"/>
    </row>
    <row r="1848" spans="8:8" x14ac:dyDescent="0.4">
      <c r="H1848" s="1"/>
    </row>
    <row r="1849" spans="8:8" x14ac:dyDescent="0.4">
      <c r="H1849" s="1"/>
    </row>
    <row r="1850" spans="8:8" x14ac:dyDescent="0.4">
      <c r="H1850" s="1"/>
    </row>
    <row r="1851" spans="8:8" x14ac:dyDescent="0.4">
      <c r="H1851" s="1"/>
    </row>
    <row r="1852" spans="8:8" x14ac:dyDescent="0.4">
      <c r="H1852" s="1"/>
    </row>
    <row r="1853" spans="8:8" x14ac:dyDescent="0.4">
      <c r="H1853" s="1"/>
    </row>
    <row r="1854" spans="8:8" x14ac:dyDescent="0.4">
      <c r="H1854" s="1"/>
    </row>
    <row r="1855" spans="8:8" x14ac:dyDescent="0.4">
      <c r="H1855" s="1"/>
    </row>
    <row r="1856" spans="8:8" x14ac:dyDescent="0.4">
      <c r="H1856" s="1"/>
    </row>
    <row r="1857" spans="8:8" x14ac:dyDescent="0.4">
      <c r="H1857" s="1"/>
    </row>
    <row r="1858" spans="8:8" x14ac:dyDescent="0.4">
      <c r="H1858" s="1"/>
    </row>
    <row r="1859" spans="8:8" x14ac:dyDescent="0.4">
      <c r="H1859" s="1"/>
    </row>
    <row r="1860" spans="8:8" x14ac:dyDescent="0.4">
      <c r="H1860" s="1"/>
    </row>
    <row r="1861" spans="8:8" x14ac:dyDescent="0.4">
      <c r="H1861" s="1"/>
    </row>
    <row r="1862" spans="8:8" x14ac:dyDescent="0.4">
      <c r="H1862" s="1"/>
    </row>
    <row r="1863" spans="8:8" x14ac:dyDescent="0.4">
      <c r="H1863" s="1"/>
    </row>
    <row r="1864" spans="8:8" x14ac:dyDescent="0.4">
      <c r="H1864" s="1"/>
    </row>
    <row r="1865" spans="8:8" x14ac:dyDescent="0.4">
      <c r="H1865" s="1"/>
    </row>
    <row r="1866" spans="8:8" x14ac:dyDescent="0.4">
      <c r="H1866" s="1"/>
    </row>
    <row r="1867" spans="8:8" x14ac:dyDescent="0.4">
      <c r="H1867" s="1"/>
    </row>
    <row r="1868" spans="8:8" x14ac:dyDescent="0.4">
      <c r="H1868" s="1"/>
    </row>
    <row r="1869" spans="8:8" x14ac:dyDescent="0.4">
      <c r="H1869" s="1"/>
    </row>
    <row r="1870" spans="8:8" x14ac:dyDescent="0.4">
      <c r="H1870" s="1"/>
    </row>
    <row r="1871" spans="8:8" x14ac:dyDescent="0.4">
      <c r="H1871" s="1"/>
    </row>
    <row r="1872" spans="8:8" x14ac:dyDescent="0.4">
      <c r="H1872" s="1"/>
    </row>
    <row r="1873" spans="8:8" x14ac:dyDescent="0.4">
      <c r="H1873" s="1"/>
    </row>
    <row r="1874" spans="8:8" x14ac:dyDescent="0.4">
      <c r="H1874" s="1"/>
    </row>
    <row r="1875" spans="8:8" x14ac:dyDescent="0.4">
      <c r="H1875" s="1"/>
    </row>
    <row r="1876" spans="8:8" x14ac:dyDescent="0.4">
      <c r="H1876" s="1"/>
    </row>
    <row r="1877" spans="8:8" x14ac:dyDescent="0.4">
      <c r="H1877" s="1"/>
    </row>
    <row r="1878" spans="8:8" x14ac:dyDescent="0.4">
      <c r="H1878" s="1"/>
    </row>
    <row r="1879" spans="8:8" x14ac:dyDescent="0.4">
      <c r="H1879" s="1"/>
    </row>
    <row r="1880" spans="8:8" x14ac:dyDescent="0.4">
      <c r="H1880" s="1"/>
    </row>
    <row r="1881" spans="8:8" x14ac:dyDescent="0.4">
      <c r="H1881" s="1"/>
    </row>
    <row r="1882" spans="8:8" x14ac:dyDescent="0.4">
      <c r="H1882" s="1"/>
    </row>
    <row r="1883" spans="8:8" x14ac:dyDescent="0.4">
      <c r="H1883" s="1"/>
    </row>
    <row r="1884" spans="8:8" x14ac:dyDescent="0.4">
      <c r="H1884" s="1"/>
    </row>
    <row r="1885" spans="8:8" x14ac:dyDescent="0.4">
      <c r="H1885" s="1"/>
    </row>
    <row r="1886" spans="8:8" x14ac:dyDescent="0.4">
      <c r="H1886" s="1"/>
    </row>
    <row r="1887" spans="8:8" x14ac:dyDescent="0.4">
      <c r="H1887" s="1"/>
    </row>
    <row r="1888" spans="8:8" x14ac:dyDescent="0.4">
      <c r="H1888" s="1"/>
    </row>
    <row r="1889" spans="8:8" x14ac:dyDescent="0.4">
      <c r="H1889" s="1"/>
    </row>
    <row r="1890" spans="8:8" x14ac:dyDescent="0.4">
      <c r="H1890" s="1"/>
    </row>
    <row r="1891" spans="8:8" x14ac:dyDescent="0.4">
      <c r="H1891" s="1"/>
    </row>
    <row r="1892" spans="8:8" x14ac:dyDescent="0.4">
      <c r="H1892" s="1"/>
    </row>
    <row r="1893" spans="8:8" x14ac:dyDescent="0.4">
      <c r="H1893" s="1"/>
    </row>
    <row r="1894" spans="8:8" x14ac:dyDescent="0.4">
      <c r="H1894" s="1"/>
    </row>
    <row r="1895" spans="8:8" x14ac:dyDescent="0.4">
      <c r="H1895" s="1"/>
    </row>
    <row r="1896" spans="8:8" x14ac:dyDescent="0.4">
      <c r="H1896" s="1"/>
    </row>
    <row r="1897" spans="8:8" x14ac:dyDescent="0.4">
      <c r="H1897" s="1"/>
    </row>
    <row r="1898" spans="8:8" x14ac:dyDescent="0.4">
      <c r="H1898" s="1"/>
    </row>
    <row r="1899" spans="8:8" x14ac:dyDescent="0.4">
      <c r="H1899" s="1"/>
    </row>
    <row r="1900" spans="8:8" x14ac:dyDescent="0.4">
      <c r="H1900" s="1"/>
    </row>
    <row r="1901" spans="8:8" x14ac:dyDescent="0.4">
      <c r="H1901" s="1"/>
    </row>
    <row r="1902" spans="8:8" x14ac:dyDescent="0.4">
      <c r="H1902" s="1"/>
    </row>
    <row r="1903" spans="8:8" x14ac:dyDescent="0.4">
      <c r="H1903" s="1"/>
    </row>
    <row r="1904" spans="8:8" x14ac:dyDescent="0.4">
      <c r="H1904" s="1"/>
    </row>
    <row r="1905" spans="8:8" x14ac:dyDescent="0.4">
      <c r="H1905" s="1"/>
    </row>
    <row r="1906" spans="8:8" x14ac:dyDescent="0.4">
      <c r="H1906" s="1"/>
    </row>
    <row r="1907" spans="8:8" x14ac:dyDescent="0.4">
      <c r="H1907" s="1"/>
    </row>
    <row r="1908" spans="8:8" x14ac:dyDescent="0.4">
      <c r="H1908" s="1"/>
    </row>
    <row r="1909" spans="8:8" x14ac:dyDescent="0.4">
      <c r="H1909" s="1"/>
    </row>
    <row r="1910" spans="8:8" x14ac:dyDescent="0.4">
      <c r="H1910" s="1"/>
    </row>
    <row r="1911" spans="8:8" x14ac:dyDescent="0.4">
      <c r="H1911" s="1"/>
    </row>
    <row r="1912" spans="8:8" x14ac:dyDescent="0.4">
      <c r="H1912" s="1"/>
    </row>
    <row r="1913" spans="8:8" x14ac:dyDescent="0.4">
      <c r="H1913" s="1"/>
    </row>
    <row r="1914" spans="8:8" x14ac:dyDescent="0.4">
      <c r="H1914" s="1"/>
    </row>
    <row r="1915" spans="8:8" x14ac:dyDescent="0.4">
      <c r="H1915" s="1"/>
    </row>
    <row r="1916" spans="8:8" x14ac:dyDescent="0.4">
      <c r="H1916" s="1"/>
    </row>
    <row r="1917" spans="8:8" x14ac:dyDescent="0.4">
      <c r="H1917" s="1"/>
    </row>
    <row r="1918" spans="8:8" x14ac:dyDescent="0.4">
      <c r="H1918" s="1"/>
    </row>
    <row r="1919" spans="8:8" x14ac:dyDescent="0.4">
      <c r="H1919" s="1"/>
    </row>
    <row r="1920" spans="8:8" x14ac:dyDescent="0.4">
      <c r="H1920" s="1"/>
    </row>
    <row r="1921" spans="8:8" x14ac:dyDescent="0.4">
      <c r="H1921" s="1"/>
    </row>
    <row r="1922" spans="8:8" x14ac:dyDescent="0.4">
      <c r="H1922" s="1"/>
    </row>
    <row r="1923" spans="8:8" x14ac:dyDescent="0.4">
      <c r="H1923" s="1"/>
    </row>
    <row r="1924" spans="8:8" x14ac:dyDescent="0.4">
      <c r="H1924" s="1"/>
    </row>
    <row r="1925" spans="8:8" x14ac:dyDescent="0.4">
      <c r="H1925" s="1"/>
    </row>
    <row r="1926" spans="8:8" x14ac:dyDescent="0.4">
      <c r="H1926" s="1"/>
    </row>
    <row r="1927" spans="8:8" x14ac:dyDescent="0.4">
      <c r="H1927" s="1"/>
    </row>
    <row r="1928" spans="8:8" x14ac:dyDescent="0.4">
      <c r="H1928" s="1"/>
    </row>
    <row r="1929" spans="8:8" x14ac:dyDescent="0.4">
      <c r="H1929" s="1"/>
    </row>
    <row r="1930" spans="8:8" x14ac:dyDescent="0.4">
      <c r="H1930" s="1"/>
    </row>
    <row r="1931" spans="8:8" x14ac:dyDescent="0.4">
      <c r="H1931" s="1"/>
    </row>
    <row r="1932" spans="8:8" x14ac:dyDescent="0.4">
      <c r="H1932" s="1"/>
    </row>
    <row r="1933" spans="8:8" x14ac:dyDescent="0.4">
      <c r="H1933" s="1"/>
    </row>
    <row r="1934" spans="8:8" x14ac:dyDescent="0.4">
      <c r="H1934" s="1"/>
    </row>
    <row r="1935" spans="8:8" x14ac:dyDescent="0.4">
      <c r="H1935" s="1"/>
    </row>
    <row r="1936" spans="8:8" x14ac:dyDescent="0.4">
      <c r="H1936" s="1"/>
    </row>
    <row r="1937" spans="8:8" x14ac:dyDescent="0.4">
      <c r="H1937" s="1"/>
    </row>
    <row r="1938" spans="8:8" x14ac:dyDescent="0.4">
      <c r="H1938" s="1"/>
    </row>
    <row r="1939" spans="8:8" x14ac:dyDescent="0.4">
      <c r="H1939" s="1"/>
    </row>
    <row r="1940" spans="8:8" x14ac:dyDescent="0.4">
      <c r="H1940" s="1"/>
    </row>
    <row r="1941" spans="8:8" x14ac:dyDescent="0.4">
      <c r="H1941" s="1"/>
    </row>
    <row r="1942" spans="8:8" x14ac:dyDescent="0.4">
      <c r="H1942" s="1"/>
    </row>
    <row r="1943" spans="8:8" x14ac:dyDescent="0.4">
      <c r="H1943" s="1"/>
    </row>
    <row r="1944" spans="8:8" x14ac:dyDescent="0.4">
      <c r="H1944" s="1"/>
    </row>
    <row r="1945" spans="8:8" x14ac:dyDescent="0.4">
      <c r="H1945" s="1"/>
    </row>
    <row r="1946" spans="8:8" x14ac:dyDescent="0.4">
      <c r="H1946" s="1"/>
    </row>
    <row r="1947" spans="8:8" x14ac:dyDescent="0.4">
      <c r="H1947" s="1"/>
    </row>
    <row r="1948" spans="8:8" x14ac:dyDescent="0.4">
      <c r="H1948" s="1"/>
    </row>
    <row r="1949" spans="8:8" x14ac:dyDescent="0.4">
      <c r="H1949" s="1"/>
    </row>
    <row r="1950" spans="8:8" x14ac:dyDescent="0.4">
      <c r="H1950" s="1"/>
    </row>
    <row r="1951" spans="8:8" x14ac:dyDescent="0.4">
      <c r="H1951" s="1"/>
    </row>
    <row r="1952" spans="8:8" x14ac:dyDescent="0.4">
      <c r="H1952" s="1"/>
    </row>
    <row r="1953" spans="8:8" x14ac:dyDescent="0.4">
      <c r="H1953" s="1"/>
    </row>
    <row r="1954" spans="8:8" x14ac:dyDescent="0.4">
      <c r="H1954" s="1"/>
    </row>
    <row r="1955" spans="8:8" x14ac:dyDescent="0.4">
      <c r="H1955" s="1"/>
    </row>
    <row r="1956" spans="8:8" x14ac:dyDescent="0.4">
      <c r="H1956" s="1"/>
    </row>
    <row r="1957" spans="8:8" x14ac:dyDescent="0.4">
      <c r="H1957" s="1"/>
    </row>
    <row r="1958" spans="8:8" x14ac:dyDescent="0.4">
      <c r="H1958" s="1"/>
    </row>
    <row r="1959" spans="8:8" x14ac:dyDescent="0.4">
      <c r="H1959" s="1"/>
    </row>
    <row r="1960" spans="8:8" x14ac:dyDescent="0.4">
      <c r="H1960" s="1"/>
    </row>
    <row r="1961" spans="8:8" x14ac:dyDescent="0.4">
      <c r="H1961" s="1"/>
    </row>
    <row r="1962" spans="8:8" x14ac:dyDescent="0.4">
      <c r="H1962" s="1"/>
    </row>
    <row r="1963" spans="8:8" x14ac:dyDescent="0.4">
      <c r="H1963" s="1"/>
    </row>
    <row r="1964" spans="8:8" x14ac:dyDescent="0.4">
      <c r="H1964" s="1"/>
    </row>
    <row r="1965" spans="8:8" x14ac:dyDescent="0.4">
      <c r="H1965" s="1"/>
    </row>
    <row r="1966" spans="8:8" x14ac:dyDescent="0.4">
      <c r="H1966" s="1"/>
    </row>
    <row r="1967" spans="8:8" x14ac:dyDescent="0.4">
      <c r="H1967" s="1"/>
    </row>
    <row r="1968" spans="8:8" x14ac:dyDescent="0.4">
      <c r="H1968" s="1"/>
    </row>
    <row r="1969" spans="8:8" x14ac:dyDescent="0.4">
      <c r="H1969" s="1"/>
    </row>
    <row r="1970" spans="8:8" x14ac:dyDescent="0.4">
      <c r="H1970" s="1"/>
    </row>
    <row r="1971" spans="8:8" x14ac:dyDescent="0.4">
      <c r="H1971" s="1"/>
    </row>
    <row r="1972" spans="8:8" x14ac:dyDescent="0.4">
      <c r="H1972" s="1"/>
    </row>
    <row r="1973" spans="8:8" x14ac:dyDescent="0.4">
      <c r="H1973" s="1"/>
    </row>
    <row r="1974" spans="8:8" x14ac:dyDescent="0.4">
      <c r="H1974" s="1"/>
    </row>
    <row r="1975" spans="8:8" x14ac:dyDescent="0.4">
      <c r="H1975" s="1"/>
    </row>
    <row r="1976" spans="8:8" x14ac:dyDescent="0.4">
      <c r="H1976" s="1"/>
    </row>
    <row r="1977" spans="8:8" x14ac:dyDescent="0.4">
      <c r="H1977" s="1"/>
    </row>
    <row r="1978" spans="8:8" x14ac:dyDescent="0.4">
      <c r="H1978" s="1"/>
    </row>
    <row r="1979" spans="8:8" x14ac:dyDescent="0.4">
      <c r="H1979" s="1"/>
    </row>
    <row r="1980" spans="8:8" x14ac:dyDescent="0.4">
      <c r="H1980" s="1"/>
    </row>
    <row r="1981" spans="8:8" x14ac:dyDescent="0.4">
      <c r="H1981" s="1"/>
    </row>
    <row r="1982" spans="8:8" x14ac:dyDescent="0.4">
      <c r="H1982" s="1"/>
    </row>
    <row r="1983" spans="8:8" x14ac:dyDescent="0.4">
      <c r="H1983" s="1"/>
    </row>
    <row r="1984" spans="8:8" x14ac:dyDescent="0.4">
      <c r="H1984" s="1"/>
    </row>
    <row r="1985" spans="8:8" x14ac:dyDescent="0.4">
      <c r="H1985" s="1"/>
    </row>
    <row r="1986" spans="8:8" x14ac:dyDescent="0.4">
      <c r="H1986" s="1"/>
    </row>
    <row r="1987" spans="8:8" x14ac:dyDescent="0.4">
      <c r="H1987" s="1"/>
    </row>
    <row r="1988" spans="8:8" x14ac:dyDescent="0.4">
      <c r="H1988" s="1"/>
    </row>
    <row r="1989" spans="8:8" x14ac:dyDescent="0.4">
      <c r="H1989" s="1"/>
    </row>
    <row r="1990" spans="8:8" x14ac:dyDescent="0.4">
      <c r="H1990" s="1"/>
    </row>
    <row r="1991" spans="8:8" x14ac:dyDescent="0.4">
      <c r="H1991" s="1"/>
    </row>
    <row r="1992" spans="8:8" x14ac:dyDescent="0.4">
      <c r="H1992" s="1"/>
    </row>
    <row r="1993" spans="8:8" x14ac:dyDescent="0.4">
      <c r="H1993" s="1"/>
    </row>
    <row r="1994" spans="8:8" x14ac:dyDescent="0.4">
      <c r="H1994" s="1"/>
    </row>
    <row r="1995" spans="8:8" x14ac:dyDescent="0.4">
      <c r="H1995" s="1"/>
    </row>
    <row r="1996" spans="8:8" x14ac:dyDescent="0.4">
      <c r="H1996" s="1"/>
    </row>
    <row r="1997" spans="8:8" x14ac:dyDescent="0.4">
      <c r="H1997" s="1"/>
    </row>
    <row r="1998" spans="8:8" x14ac:dyDescent="0.4">
      <c r="H1998" s="1"/>
    </row>
    <row r="1999" spans="8:8" x14ac:dyDescent="0.4">
      <c r="H1999" s="1"/>
    </row>
    <row r="2000" spans="8:8" x14ac:dyDescent="0.4">
      <c r="H2000" s="1"/>
    </row>
    <row r="2001" spans="8:8" x14ac:dyDescent="0.4">
      <c r="H2001" s="1"/>
    </row>
    <row r="2002" spans="8:8" x14ac:dyDescent="0.4">
      <c r="H2002" s="1"/>
    </row>
    <row r="2003" spans="8:8" x14ac:dyDescent="0.4">
      <c r="H2003" s="1"/>
    </row>
    <row r="2004" spans="8:8" x14ac:dyDescent="0.4">
      <c r="H2004" s="1"/>
    </row>
    <row r="2005" spans="8:8" x14ac:dyDescent="0.4">
      <c r="H2005" s="1"/>
    </row>
    <row r="2006" spans="8:8" x14ac:dyDescent="0.4">
      <c r="H2006" s="1"/>
    </row>
    <row r="2007" spans="8:8" x14ac:dyDescent="0.4">
      <c r="H2007" s="1"/>
    </row>
    <row r="2008" spans="8:8" x14ac:dyDescent="0.4">
      <c r="H2008" s="1"/>
    </row>
    <row r="2009" spans="8:8" x14ac:dyDescent="0.4">
      <c r="H2009" s="1"/>
    </row>
    <row r="2010" spans="8:8" x14ac:dyDescent="0.4">
      <c r="H2010" s="1"/>
    </row>
    <row r="2011" spans="8:8" x14ac:dyDescent="0.4">
      <c r="H2011" s="1"/>
    </row>
    <row r="2012" spans="8:8" x14ac:dyDescent="0.4">
      <c r="H2012" s="1"/>
    </row>
    <row r="2013" spans="8:8" x14ac:dyDescent="0.4">
      <c r="H2013" s="1"/>
    </row>
    <row r="2014" spans="8:8" x14ac:dyDescent="0.4">
      <c r="H2014" s="1"/>
    </row>
    <row r="2015" spans="8:8" x14ac:dyDescent="0.4">
      <c r="H2015" s="1"/>
    </row>
    <row r="2016" spans="8:8" x14ac:dyDescent="0.4">
      <c r="H2016" s="1"/>
    </row>
    <row r="2017" spans="8:8" x14ac:dyDescent="0.4">
      <c r="H2017" s="1"/>
    </row>
    <row r="2018" spans="8:8" x14ac:dyDescent="0.4">
      <c r="H2018" s="1"/>
    </row>
    <row r="2019" spans="8:8" x14ac:dyDescent="0.4">
      <c r="H2019" s="1"/>
    </row>
    <row r="2020" spans="8:8" x14ac:dyDescent="0.4">
      <c r="H2020" s="1"/>
    </row>
    <row r="2021" spans="8:8" x14ac:dyDescent="0.4">
      <c r="H2021" s="1"/>
    </row>
    <row r="2022" spans="8:8" x14ac:dyDescent="0.4">
      <c r="H2022" s="1"/>
    </row>
    <row r="2023" spans="8:8" x14ac:dyDescent="0.4">
      <c r="H2023" s="1"/>
    </row>
    <row r="2024" spans="8:8" x14ac:dyDescent="0.4">
      <c r="H2024" s="1"/>
    </row>
    <row r="2025" spans="8:8" x14ac:dyDescent="0.4">
      <c r="H2025" s="1"/>
    </row>
    <row r="2026" spans="8:8" x14ac:dyDescent="0.4">
      <c r="H2026" s="1"/>
    </row>
    <row r="2027" spans="8:8" x14ac:dyDescent="0.4">
      <c r="H2027" s="1"/>
    </row>
    <row r="2028" spans="8:8" x14ac:dyDescent="0.4">
      <c r="H2028" s="1"/>
    </row>
    <row r="2029" spans="8:8" x14ac:dyDescent="0.4">
      <c r="H2029" s="1"/>
    </row>
    <row r="2030" spans="8:8" x14ac:dyDescent="0.4">
      <c r="H2030" s="1"/>
    </row>
    <row r="2031" spans="8:8" x14ac:dyDescent="0.4">
      <c r="H2031" s="1"/>
    </row>
    <row r="2032" spans="8:8" x14ac:dyDescent="0.4">
      <c r="H2032" s="1"/>
    </row>
    <row r="2033" spans="8:8" x14ac:dyDescent="0.4">
      <c r="H2033" s="1"/>
    </row>
    <row r="2034" spans="8:8" x14ac:dyDescent="0.4">
      <c r="H2034" s="1"/>
    </row>
    <row r="2035" spans="8:8" x14ac:dyDescent="0.4">
      <c r="H2035" s="1"/>
    </row>
    <row r="2036" spans="8:8" x14ac:dyDescent="0.4">
      <c r="H2036" s="1"/>
    </row>
    <row r="2037" spans="8:8" x14ac:dyDescent="0.4">
      <c r="H2037" s="1"/>
    </row>
    <row r="2038" spans="8:8" x14ac:dyDescent="0.4">
      <c r="H2038" s="1"/>
    </row>
    <row r="2039" spans="8:8" x14ac:dyDescent="0.4">
      <c r="H2039" s="1"/>
    </row>
    <row r="2040" spans="8:8" x14ac:dyDescent="0.4">
      <c r="H2040" s="1"/>
    </row>
    <row r="2041" spans="8:8" x14ac:dyDescent="0.4">
      <c r="H2041" s="1"/>
    </row>
    <row r="2042" spans="8:8" x14ac:dyDescent="0.4">
      <c r="H2042" s="1"/>
    </row>
    <row r="2043" spans="8:8" x14ac:dyDescent="0.4">
      <c r="H2043" s="1"/>
    </row>
    <row r="2044" spans="8:8" x14ac:dyDescent="0.4">
      <c r="H2044" s="1"/>
    </row>
    <row r="2045" spans="8:8" x14ac:dyDescent="0.4">
      <c r="H2045" s="1"/>
    </row>
    <row r="2046" spans="8:8" x14ac:dyDescent="0.4">
      <c r="H2046" s="1"/>
    </row>
    <row r="2047" spans="8:8" x14ac:dyDescent="0.4">
      <c r="H2047" s="1"/>
    </row>
    <row r="2048" spans="8:8" x14ac:dyDescent="0.4">
      <c r="H2048" s="1"/>
    </row>
    <row r="2049" spans="8:8" x14ac:dyDescent="0.4">
      <c r="H2049" s="1"/>
    </row>
    <row r="2050" spans="8:8" x14ac:dyDescent="0.4">
      <c r="H2050" s="1"/>
    </row>
    <row r="2051" spans="8:8" x14ac:dyDescent="0.4">
      <c r="H2051" s="1"/>
    </row>
    <row r="2052" spans="8:8" x14ac:dyDescent="0.4">
      <c r="H2052" s="1"/>
    </row>
    <row r="2053" spans="8:8" x14ac:dyDescent="0.4">
      <c r="H2053" s="1"/>
    </row>
    <row r="2054" spans="8:8" x14ac:dyDescent="0.4">
      <c r="H2054" s="1"/>
    </row>
    <row r="2055" spans="8:8" x14ac:dyDescent="0.4">
      <c r="H2055" s="1"/>
    </row>
    <row r="2056" spans="8:8" x14ac:dyDescent="0.4">
      <c r="H2056" s="1"/>
    </row>
    <row r="2057" spans="8:8" x14ac:dyDescent="0.4">
      <c r="H2057" s="1"/>
    </row>
    <row r="2058" spans="8:8" x14ac:dyDescent="0.4">
      <c r="H2058" s="1"/>
    </row>
    <row r="2059" spans="8:8" x14ac:dyDescent="0.4">
      <c r="H2059" s="1"/>
    </row>
    <row r="2060" spans="8:8" x14ac:dyDescent="0.4">
      <c r="H2060" s="1"/>
    </row>
    <row r="2061" spans="8:8" x14ac:dyDescent="0.4">
      <c r="H2061" s="1"/>
    </row>
    <row r="2062" spans="8:8" x14ac:dyDescent="0.4">
      <c r="H2062" s="1"/>
    </row>
    <row r="2063" spans="8:8" x14ac:dyDescent="0.4">
      <c r="H2063" s="1"/>
    </row>
    <row r="2064" spans="8:8" x14ac:dyDescent="0.4">
      <c r="H2064" s="1"/>
    </row>
    <row r="2065" spans="8:8" x14ac:dyDescent="0.4">
      <c r="H2065" s="1"/>
    </row>
    <row r="2066" spans="8:8" x14ac:dyDescent="0.4">
      <c r="H2066" s="1"/>
    </row>
    <row r="2067" spans="8:8" x14ac:dyDescent="0.4">
      <c r="H2067" s="1"/>
    </row>
    <row r="2068" spans="8:8" x14ac:dyDescent="0.4">
      <c r="H2068" s="1"/>
    </row>
    <row r="2069" spans="8:8" x14ac:dyDescent="0.4">
      <c r="H2069" s="1"/>
    </row>
    <row r="2070" spans="8:8" x14ac:dyDescent="0.4">
      <c r="H2070" s="1"/>
    </row>
    <row r="2071" spans="8:8" x14ac:dyDescent="0.4">
      <c r="H2071" s="1"/>
    </row>
    <row r="2072" spans="8:8" x14ac:dyDescent="0.4">
      <c r="H2072" s="1"/>
    </row>
    <row r="2073" spans="8:8" x14ac:dyDescent="0.4">
      <c r="H2073" s="1"/>
    </row>
    <row r="2074" spans="8:8" x14ac:dyDescent="0.4">
      <c r="H2074" s="1"/>
    </row>
    <row r="2075" spans="8:8" x14ac:dyDescent="0.4">
      <c r="H2075" s="1"/>
    </row>
    <row r="2076" spans="8:8" x14ac:dyDescent="0.4">
      <c r="H2076" s="1"/>
    </row>
    <row r="2077" spans="8:8" x14ac:dyDescent="0.4">
      <c r="H2077" s="1"/>
    </row>
    <row r="2078" spans="8:8" x14ac:dyDescent="0.4">
      <c r="H2078" s="1"/>
    </row>
    <row r="2079" spans="8:8" x14ac:dyDescent="0.4">
      <c r="H2079" s="1"/>
    </row>
    <row r="2080" spans="8:8" x14ac:dyDescent="0.4">
      <c r="H2080" s="1"/>
    </row>
    <row r="2081" spans="8:8" x14ac:dyDescent="0.4">
      <c r="H2081" s="1"/>
    </row>
    <row r="2082" spans="8:8" x14ac:dyDescent="0.4">
      <c r="H2082" s="1"/>
    </row>
    <row r="2083" spans="8:8" x14ac:dyDescent="0.4">
      <c r="H2083" s="1"/>
    </row>
    <row r="2084" spans="8:8" x14ac:dyDescent="0.4">
      <c r="H2084" s="1"/>
    </row>
    <row r="2085" spans="8:8" x14ac:dyDescent="0.4">
      <c r="H2085" s="1"/>
    </row>
    <row r="2086" spans="8:8" x14ac:dyDescent="0.4">
      <c r="H2086" s="1"/>
    </row>
    <row r="2087" spans="8:8" x14ac:dyDescent="0.4">
      <c r="H2087" s="1"/>
    </row>
    <row r="2088" spans="8:8" x14ac:dyDescent="0.4">
      <c r="H2088" s="1"/>
    </row>
    <row r="2089" spans="8:8" x14ac:dyDescent="0.4">
      <c r="H2089" s="1"/>
    </row>
    <row r="2090" spans="8:8" x14ac:dyDescent="0.4">
      <c r="H2090" s="1"/>
    </row>
    <row r="2091" spans="8:8" x14ac:dyDescent="0.4">
      <c r="H2091" s="1"/>
    </row>
    <row r="2092" spans="8:8" x14ac:dyDescent="0.4">
      <c r="H2092" s="1"/>
    </row>
    <row r="2093" spans="8:8" x14ac:dyDescent="0.4">
      <c r="H2093" s="1"/>
    </row>
    <row r="2094" spans="8:8" x14ac:dyDescent="0.4">
      <c r="H2094" s="1"/>
    </row>
    <row r="2095" spans="8:8" x14ac:dyDescent="0.4">
      <c r="H2095" s="1"/>
    </row>
    <row r="2096" spans="8:8" x14ac:dyDescent="0.4">
      <c r="H2096" s="1"/>
    </row>
    <row r="2097" spans="8:8" x14ac:dyDescent="0.4">
      <c r="H2097" s="1"/>
    </row>
    <row r="2098" spans="8:8" x14ac:dyDescent="0.4">
      <c r="H2098" s="1"/>
    </row>
    <row r="2099" spans="8:8" x14ac:dyDescent="0.4">
      <c r="H2099" s="1"/>
    </row>
    <row r="2100" spans="8:8" x14ac:dyDescent="0.4">
      <c r="H2100" s="1"/>
    </row>
    <row r="2101" spans="8:8" x14ac:dyDescent="0.4">
      <c r="H2101" s="1"/>
    </row>
    <row r="2102" spans="8:8" x14ac:dyDescent="0.4">
      <c r="H2102" s="1"/>
    </row>
    <row r="2103" spans="8:8" x14ac:dyDescent="0.4">
      <c r="H2103" s="1"/>
    </row>
    <row r="2104" spans="8:8" x14ac:dyDescent="0.4">
      <c r="H2104" s="1"/>
    </row>
    <row r="2105" spans="8:8" x14ac:dyDescent="0.4">
      <c r="H2105" s="1"/>
    </row>
    <row r="2106" spans="8:8" x14ac:dyDescent="0.4">
      <c r="H2106" s="1"/>
    </row>
    <row r="2107" spans="8:8" x14ac:dyDescent="0.4">
      <c r="H2107" s="1"/>
    </row>
    <row r="2108" spans="8:8" x14ac:dyDescent="0.4">
      <c r="H2108" s="1"/>
    </row>
    <row r="2109" spans="8:8" x14ac:dyDescent="0.4">
      <c r="H2109" s="1"/>
    </row>
    <row r="2110" spans="8:8" x14ac:dyDescent="0.4">
      <c r="H2110" s="1"/>
    </row>
    <row r="2111" spans="8:8" x14ac:dyDescent="0.4">
      <c r="H2111" s="1"/>
    </row>
    <row r="2112" spans="8:8" x14ac:dyDescent="0.4">
      <c r="H2112" s="1"/>
    </row>
    <row r="2113" spans="8:8" x14ac:dyDescent="0.4">
      <c r="H2113" s="1"/>
    </row>
    <row r="2114" spans="8:8" x14ac:dyDescent="0.4">
      <c r="H2114" s="1"/>
    </row>
    <row r="2115" spans="8:8" x14ac:dyDescent="0.4">
      <c r="H2115" s="1"/>
    </row>
    <row r="2116" spans="8:8" x14ac:dyDescent="0.4">
      <c r="H2116" s="1"/>
    </row>
    <row r="2117" spans="8:8" x14ac:dyDescent="0.4">
      <c r="H2117" s="1"/>
    </row>
    <row r="2118" spans="8:8" x14ac:dyDescent="0.4">
      <c r="H2118" s="1"/>
    </row>
    <row r="2119" spans="8:8" x14ac:dyDescent="0.4">
      <c r="H2119" s="1"/>
    </row>
    <row r="2120" spans="8:8" x14ac:dyDescent="0.4">
      <c r="H2120" s="1"/>
    </row>
    <row r="2121" spans="8:8" x14ac:dyDescent="0.4">
      <c r="H2121" s="1"/>
    </row>
    <row r="2122" spans="8:8" x14ac:dyDescent="0.4">
      <c r="H2122" s="1"/>
    </row>
    <row r="2123" spans="8:8" x14ac:dyDescent="0.4">
      <c r="H2123" s="1"/>
    </row>
    <row r="2124" spans="8:8" x14ac:dyDescent="0.4">
      <c r="H2124" s="1"/>
    </row>
    <row r="2125" spans="8:8" x14ac:dyDescent="0.4">
      <c r="H2125" s="1"/>
    </row>
    <row r="2126" spans="8:8" x14ac:dyDescent="0.4">
      <c r="H2126" s="1"/>
    </row>
    <row r="2127" spans="8:8" x14ac:dyDescent="0.4">
      <c r="H2127" s="1"/>
    </row>
    <row r="2128" spans="8:8" x14ac:dyDescent="0.4">
      <c r="H2128" s="1"/>
    </row>
    <row r="2129" spans="8:8" x14ac:dyDescent="0.4">
      <c r="H2129" s="1"/>
    </row>
    <row r="2130" spans="8:8" x14ac:dyDescent="0.4">
      <c r="H2130" s="1"/>
    </row>
    <row r="2131" spans="8:8" x14ac:dyDescent="0.4">
      <c r="H2131" s="1"/>
    </row>
    <row r="2132" spans="8:8" x14ac:dyDescent="0.4">
      <c r="H2132" s="1"/>
    </row>
    <row r="2133" spans="8:8" x14ac:dyDescent="0.4">
      <c r="H2133" s="1"/>
    </row>
    <row r="2134" spans="8:8" x14ac:dyDescent="0.4">
      <c r="H2134" s="1"/>
    </row>
    <row r="2135" spans="8:8" x14ac:dyDescent="0.4">
      <c r="H2135" s="1"/>
    </row>
    <row r="2136" spans="8:8" x14ac:dyDescent="0.4">
      <c r="H2136" s="1"/>
    </row>
    <row r="2137" spans="8:8" x14ac:dyDescent="0.4">
      <c r="H2137" s="1"/>
    </row>
    <row r="2138" spans="8:8" x14ac:dyDescent="0.4">
      <c r="H2138" s="1"/>
    </row>
    <row r="2139" spans="8:8" x14ac:dyDescent="0.4">
      <c r="H2139" s="1"/>
    </row>
    <row r="2140" spans="8:8" x14ac:dyDescent="0.4">
      <c r="H2140" s="1"/>
    </row>
    <row r="2141" spans="8:8" x14ac:dyDescent="0.4">
      <c r="H2141" s="1"/>
    </row>
    <row r="2142" spans="8:8" x14ac:dyDescent="0.4">
      <c r="H2142" s="1"/>
    </row>
    <row r="2143" spans="8:8" x14ac:dyDescent="0.4">
      <c r="H2143" s="1"/>
    </row>
    <row r="2144" spans="8:8" x14ac:dyDescent="0.4">
      <c r="H2144" s="1"/>
    </row>
    <row r="2145" spans="8:8" x14ac:dyDescent="0.4">
      <c r="H2145" s="1"/>
    </row>
    <row r="2146" spans="8:8" x14ac:dyDescent="0.4">
      <c r="H2146" s="1"/>
    </row>
    <row r="2147" spans="8:8" x14ac:dyDescent="0.4">
      <c r="H2147" s="1"/>
    </row>
    <row r="2148" spans="8:8" x14ac:dyDescent="0.4">
      <c r="H2148" s="1"/>
    </row>
    <row r="2149" spans="8:8" x14ac:dyDescent="0.4">
      <c r="H2149" s="1"/>
    </row>
    <row r="2150" spans="8:8" x14ac:dyDescent="0.4">
      <c r="H2150" s="1"/>
    </row>
    <row r="2151" spans="8:8" x14ac:dyDescent="0.4">
      <c r="H2151" s="1"/>
    </row>
    <row r="2152" spans="8:8" x14ac:dyDescent="0.4">
      <c r="H2152" s="1"/>
    </row>
    <row r="2153" spans="8:8" x14ac:dyDescent="0.4">
      <c r="H2153" s="1"/>
    </row>
    <row r="2154" spans="8:8" x14ac:dyDescent="0.4">
      <c r="H2154" s="1"/>
    </row>
    <row r="2155" spans="8:8" x14ac:dyDescent="0.4">
      <c r="H2155" s="1"/>
    </row>
    <row r="2156" spans="8:8" x14ac:dyDescent="0.4">
      <c r="H2156" s="1"/>
    </row>
    <row r="2157" spans="8:8" x14ac:dyDescent="0.4">
      <c r="H2157" s="1"/>
    </row>
    <row r="2158" spans="8:8" x14ac:dyDescent="0.4">
      <c r="H2158" s="1"/>
    </row>
    <row r="2159" spans="8:8" x14ac:dyDescent="0.4">
      <c r="H2159" s="1"/>
    </row>
    <row r="2160" spans="8:8" x14ac:dyDescent="0.4">
      <c r="H2160" s="1"/>
    </row>
    <row r="2161" spans="8:8" x14ac:dyDescent="0.4">
      <c r="H2161" s="1"/>
    </row>
    <row r="2162" spans="8:8" x14ac:dyDescent="0.4">
      <c r="H2162" s="1"/>
    </row>
    <row r="2163" spans="8:8" x14ac:dyDescent="0.4">
      <c r="H2163" s="1"/>
    </row>
    <row r="2164" spans="8:8" x14ac:dyDescent="0.4">
      <c r="H2164" s="1"/>
    </row>
    <row r="2165" spans="8:8" x14ac:dyDescent="0.4">
      <c r="H2165" s="1"/>
    </row>
    <row r="2166" spans="8:8" x14ac:dyDescent="0.4">
      <c r="H2166" s="1"/>
    </row>
    <row r="2167" spans="8:8" x14ac:dyDescent="0.4">
      <c r="H2167" s="1"/>
    </row>
    <row r="2168" spans="8:8" x14ac:dyDescent="0.4">
      <c r="H2168" s="1"/>
    </row>
    <row r="2169" spans="8:8" x14ac:dyDescent="0.4">
      <c r="H2169" s="1"/>
    </row>
    <row r="2170" spans="8:8" x14ac:dyDescent="0.4">
      <c r="H2170" s="1"/>
    </row>
    <row r="2171" spans="8:8" x14ac:dyDescent="0.4">
      <c r="H2171" s="1"/>
    </row>
    <row r="2172" spans="8:8" x14ac:dyDescent="0.4">
      <c r="H2172" s="1"/>
    </row>
    <row r="2173" spans="8:8" x14ac:dyDescent="0.4">
      <c r="H2173" s="1"/>
    </row>
    <row r="2174" spans="8:8" x14ac:dyDescent="0.4">
      <c r="H2174" s="1"/>
    </row>
    <row r="2175" spans="8:8" x14ac:dyDescent="0.4">
      <c r="H2175" s="1"/>
    </row>
    <row r="2176" spans="8:8" x14ac:dyDescent="0.4">
      <c r="H2176" s="1"/>
    </row>
    <row r="2177" spans="8:8" x14ac:dyDescent="0.4">
      <c r="H2177" s="1"/>
    </row>
    <row r="2178" spans="8:8" x14ac:dyDescent="0.4">
      <c r="H2178" s="1"/>
    </row>
    <row r="2179" spans="8:8" x14ac:dyDescent="0.4">
      <c r="H2179" s="1"/>
    </row>
    <row r="2180" spans="8:8" x14ac:dyDescent="0.4">
      <c r="H2180" s="1"/>
    </row>
    <row r="2181" spans="8:8" x14ac:dyDescent="0.4">
      <c r="H2181" s="1"/>
    </row>
    <row r="2182" spans="8:8" x14ac:dyDescent="0.4">
      <c r="H2182" s="1"/>
    </row>
    <row r="2183" spans="8:8" x14ac:dyDescent="0.4">
      <c r="H2183" s="1"/>
    </row>
    <row r="2184" spans="8:8" x14ac:dyDescent="0.4">
      <c r="H2184" s="1"/>
    </row>
    <row r="2185" spans="8:8" x14ac:dyDescent="0.4">
      <c r="H2185" s="1"/>
    </row>
    <row r="2186" spans="8:8" x14ac:dyDescent="0.4">
      <c r="H2186" s="1"/>
    </row>
    <row r="2187" spans="8:8" x14ac:dyDescent="0.4">
      <c r="H2187" s="1"/>
    </row>
    <row r="2188" spans="8:8" x14ac:dyDescent="0.4">
      <c r="H2188" s="1"/>
    </row>
    <row r="2189" spans="8:8" x14ac:dyDescent="0.4">
      <c r="H2189" s="1"/>
    </row>
    <row r="2190" spans="8:8" x14ac:dyDescent="0.4">
      <c r="H2190" s="1"/>
    </row>
    <row r="2191" spans="8:8" x14ac:dyDescent="0.4">
      <c r="H2191" s="1"/>
    </row>
    <row r="2192" spans="8:8" x14ac:dyDescent="0.4">
      <c r="H2192" s="1"/>
    </row>
    <row r="2193" spans="8:8" x14ac:dyDescent="0.4">
      <c r="H2193" s="1"/>
    </row>
    <row r="2194" spans="8:8" x14ac:dyDescent="0.4">
      <c r="H2194" s="1"/>
    </row>
    <row r="2195" spans="8:8" x14ac:dyDescent="0.4">
      <c r="H2195" s="1"/>
    </row>
    <row r="2196" spans="8:8" x14ac:dyDescent="0.4">
      <c r="H2196" s="1"/>
    </row>
    <row r="2197" spans="8:8" x14ac:dyDescent="0.4">
      <c r="H2197" s="1"/>
    </row>
    <row r="2198" spans="8:8" x14ac:dyDescent="0.4">
      <c r="H2198" s="1"/>
    </row>
    <row r="2199" spans="8:8" x14ac:dyDescent="0.4">
      <c r="H2199" s="1"/>
    </row>
    <row r="2200" spans="8:8" x14ac:dyDescent="0.4">
      <c r="H2200" s="1"/>
    </row>
    <row r="2201" spans="8:8" x14ac:dyDescent="0.4">
      <c r="H2201" s="1"/>
    </row>
    <row r="2202" spans="8:8" x14ac:dyDescent="0.4">
      <c r="H2202" s="1"/>
    </row>
    <row r="2203" spans="8:8" x14ac:dyDescent="0.4">
      <c r="H2203" s="1"/>
    </row>
    <row r="2204" spans="8:8" x14ac:dyDescent="0.4">
      <c r="H2204" s="1"/>
    </row>
    <row r="2205" spans="8:8" x14ac:dyDescent="0.4">
      <c r="H2205" s="1"/>
    </row>
    <row r="2206" spans="8:8" x14ac:dyDescent="0.4">
      <c r="H2206" s="1"/>
    </row>
    <row r="2207" spans="8:8" x14ac:dyDescent="0.4">
      <c r="H2207" s="1"/>
    </row>
    <row r="2208" spans="8:8" x14ac:dyDescent="0.4">
      <c r="H2208" s="1"/>
    </row>
    <row r="2209" spans="8:8" x14ac:dyDescent="0.4">
      <c r="H2209" s="1"/>
    </row>
    <row r="2210" spans="8:8" x14ac:dyDescent="0.4">
      <c r="H2210" s="1"/>
    </row>
    <row r="2211" spans="8:8" x14ac:dyDescent="0.4">
      <c r="H2211" s="1"/>
    </row>
    <row r="2212" spans="8:8" x14ac:dyDescent="0.4">
      <c r="H2212" s="1"/>
    </row>
    <row r="2213" spans="8:8" x14ac:dyDescent="0.4">
      <c r="H2213" s="1"/>
    </row>
    <row r="2214" spans="8:8" x14ac:dyDescent="0.4">
      <c r="H2214" s="1"/>
    </row>
    <row r="2215" spans="8:8" x14ac:dyDescent="0.4">
      <c r="H2215" s="1"/>
    </row>
    <row r="2216" spans="8:8" x14ac:dyDescent="0.4">
      <c r="H2216" s="1"/>
    </row>
    <row r="2217" spans="8:8" x14ac:dyDescent="0.4">
      <c r="H2217" s="1"/>
    </row>
    <row r="2218" spans="8:8" x14ac:dyDescent="0.4">
      <c r="H2218" s="1"/>
    </row>
    <row r="2219" spans="8:8" x14ac:dyDescent="0.4">
      <c r="H2219" s="1"/>
    </row>
    <row r="2220" spans="8:8" x14ac:dyDescent="0.4">
      <c r="H2220" s="1"/>
    </row>
    <row r="2221" spans="8:8" x14ac:dyDescent="0.4">
      <c r="H2221" s="1"/>
    </row>
    <row r="2222" spans="8:8" x14ac:dyDescent="0.4">
      <c r="H2222" s="1"/>
    </row>
    <row r="2223" spans="8:8" x14ac:dyDescent="0.4">
      <c r="H2223" s="1"/>
    </row>
    <row r="2224" spans="8:8" x14ac:dyDescent="0.4">
      <c r="H2224" s="1"/>
    </row>
    <row r="2225" spans="8:8" x14ac:dyDescent="0.4">
      <c r="H2225" s="1"/>
    </row>
    <row r="2226" spans="8:8" x14ac:dyDescent="0.4">
      <c r="H2226" s="1"/>
    </row>
    <row r="2227" spans="8:8" x14ac:dyDescent="0.4">
      <c r="H2227" s="1"/>
    </row>
    <row r="2228" spans="8:8" x14ac:dyDescent="0.4">
      <c r="H2228" s="1"/>
    </row>
    <row r="2229" spans="8:8" x14ac:dyDescent="0.4">
      <c r="H2229" s="1"/>
    </row>
    <row r="2230" spans="8:8" x14ac:dyDescent="0.4">
      <c r="H2230" s="1"/>
    </row>
    <row r="2231" spans="8:8" x14ac:dyDescent="0.4">
      <c r="H2231" s="1"/>
    </row>
    <row r="2232" spans="8:8" x14ac:dyDescent="0.4">
      <c r="H2232" s="1"/>
    </row>
    <row r="2233" spans="8:8" x14ac:dyDescent="0.4">
      <c r="H2233" s="1"/>
    </row>
    <row r="2234" spans="8:8" x14ac:dyDescent="0.4">
      <c r="H2234" s="1"/>
    </row>
    <row r="2235" spans="8:8" x14ac:dyDescent="0.4">
      <c r="H2235" s="1"/>
    </row>
    <row r="2236" spans="8:8" x14ac:dyDescent="0.4">
      <c r="H2236" s="1"/>
    </row>
    <row r="2237" spans="8:8" x14ac:dyDescent="0.4">
      <c r="H2237" s="1"/>
    </row>
    <row r="2238" spans="8:8" x14ac:dyDescent="0.4">
      <c r="H2238" s="1"/>
    </row>
    <row r="2239" spans="8:8" x14ac:dyDescent="0.4">
      <c r="H2239" s="1"/>
    </row>
    <row r="2240" spans="8:8" x14ac:dyDescent="0.4">
      <c r="H2240" s="1"/>
    </row>
    <row r="2241" spans="8:8" x14ac:dyDescent="0.4">
      <c r="H2241" s="1"/>
    </row>
    <row r="2242" spans="8:8" x14ac:dyDescent="0.4">
      <c r="H2242" s="1"/>
    </row>
    <row r="2243" spans="8:8" x14ac:dyDescent="0.4">
      <c r="H2243" s="1"/>
    </row>
    <row r="2244" spans="8:8" x14ac:dyDescent="0.4">
      <c r="H2244" s="1"/>
    </row>
    <row r="2245" spans="8:8" x14ac:dyDescent="0.4">
      <c r="H2245" s="1"/>
    </row>
    <row r="2246" spans="8:8" x14ac:dyDescent="0.4">
      <c r="H2246" s="1"/>
    </row>
    <row r="2247" spans="8:8" x14ac:dyDescent="0.4">
      <c r="H2247" s="1"/>
    </row>
    <row r="2248" spans="8:8" x14ac:dyDescent="0.4">
      <c r="H2248" s="1"/>
    </row>
    <row r="2249" spans="8:8" x14ac:dyDescent="0.4">
      <c r="H2249" s="1"/>
    </row>
    <row r="2250" spans="8:8" x14ac:dyDescent="0.4">
      <c r="H2250" s="1"/>
    </row>
    <row r="2251" spans="8:8" x14ac:dyDescent="0.4">
      <c r="H2251" s="1"/>
    </row>
    <row r="2252" spans="8:8" x14ac:dyDescent="0.4">
      <c r="H2252" s="1"/>
    </row>
    <row r="2253" spans="8:8" x14ac:dyDescent="0.4">
      <c r="H2253" s="1"/>
    </row>
    <row r="2254" spans="8:8" x14ac:dyDescent="0.4">
      <c r="H2254" s="1"/>
    </row>
    <row r="2255" spans="8:8" x14ac:dyDescent="0.4">
      <c r="H2255" s="1"/>
    </row>
    <row r="2256" spans="8:8" x14ac:dyDescent="0.4">
      <c r="H2256" s="1"/>
    </row>
    <row r="2257" spans="8:8" x14ac:dyDescent="0.4">
      <c r="H2257" s="1"/>
    </row>
    <row r="2258" spans="8:8" x14ac:dyDescent="0.4">
      <c r="H2258" s="1"/>
    </row>
    <row r="2259" spans="8:8" x14ac:dyDescent="0.4">
      <c r="H2259" s="1"/>
    </row>
    <row r="2260" spans="8:8" x14ac:dyDescent="0.4">
      <c r="H2260" s="1"/>
    </row>
    <row r="2261" spans="8:8" x14ac:dyDescent="0.4">
      <c r="H2261" s="1"/>
    </row>
    <row r="2262" spans="8:8" x14ac:dyDescent="0.4">
      <c r="H2262" s="1"/>
    </row>
    <row r="2263" spans="8:8" x14ac:dyDescent="0.4">
      <c r="H2263" s="1"/>
    </row>
    <row r="2264" spans="8:8" x14ac:dyDescent="0.4">
      <c r="H2264" s="1"/>
    </row>
    <row r="2265" spans="8:8" x14ac:dyDescent="0.4">
      <c r="H2265" s="1"/>
    </row>
    <row r="2266" spans="8:8" x14ac:dyDescent="0.4">
      <c r="H2266" s="1"/>
    </row>
    <row r="2267" spans="8:8" x14ac:dyDescent="0.4">
      <c r="H2267" s="1"/>
    </row>
    <row r="2268" spans="8:8" x14ac:dyDescent="0.4">
      <c r="H2268" s="1"/>
    </row>
    <row r="2269" spans="8:8" x14ac:dyDescent="0.4">
      <c r="H2269" s="1"/>
    </row>
    <row r="2270" spans="8:8" x14ac:dyDescent="0.4">
      <c r="H2270" s="1"/>
    </row>
    <row r="2271" spans="8:8" x14ac:dyDescent="0.4">
      <c r="H2271" s="1"/>
    </row>
    <row r="2272" spans="8:8" x14ac:dyDescent="0.4">
      <c r="H2272" s="1"/>
    </row>
    <row r="2273" spans="8:8" x14ac:dyDescent="0.4">
      <c r="H2273" s="1"/>
    </row>
    <row r="2274" spans="8:8" x14ac:dyDescent="0.4">
      <c r="H2274" s="1"/>
    </row>
    <row r="2275" spans="8:8" x14ac:dyDescent="0.4">
      <c r="H2275" s="1"/>
    </row>
    <row r="2276" spans="8:8" x14ac:dyDescent="0.4">
      <c r="H2276" s="1"/>
    </row>
    <row r="2277" spans="8:8" x14ac:dyDescent="0.4">
      <c r="H2277" s="1"/>
    </row>
    <row r="2278" spans="8:8" x14ac:dyDescent="0.4">
      <c r="H2278" s="1"/>
    </row>
    <row r="2279" spans="8:8" x14ac:dyDescent="0.4">
      <c r="H2279" s="1"/>
    </row>
    <row r="2280" spans="8:8" x14ac:dyDescent="0.4">
      <c r="H2280" s="1"/>
    </row>
    <row r="2281" spans="8:8" x14ac:dyDescent="0.4">
      <c r="H2281" s="1"/>
    </row>
    <row r="2282" spans="8:8" x14ac:dyDescent="0.4">
      <c r="H2282" s="1"/>
    </row>
    <row r="2283" spans="8:8" x14ac:dyDescent="0.4">
      <c r="H2283" s="1"/>
    </row>
    <row r="2284" spans="8:8" x14ac:dyDescent="0.4">
      <c r="H2284" s="1"/>
    </row>
    <row r="2285" spans="8:8" x14ac:dyDescent="0.4">
      <c r="H2285" s="1"/>
    </row>
    <row r="2286" spans="8:8" x14ac:dyDescent="0.4">
      <c r="H2286" s="1"/>
    </row>
    <row r="2287" spans="8:8" x14ac:dyDescent="0.4">
      <c r="H2287" s="1"/>
    </row>
    <row r="2288" spans="8:8" x14ac:dyDescent="0.4">
      <c r="H2288" s="1"/>
    </row>
    <row r="2289" spans="8:8" x14ac:dyDescent="0.4">
      <c r="H2289" s="1"/>
    </row>
    <row r="2290" spans="8:8" x14ac:dyDescent="0.4">
      <c r="H2290" s="1"/>
    </row>
    <row r="2291" spans="8:8" x14ac:dyDescent="0.4">
      <c r="H2291" s="1"/>
    </row>
    <row r="2292" spans="8:8" x14ac:dyDescent="0.4">
      <c r="H2292" s="1"/>
    </row>
    <row r="2293" spans="8:8" x14ac:dyDescent="0.4">
      <c r="H2293" s="1"/>
    </row>
    <row r="2294" spans="8:8" x14ac:dyDescent="0.4">
      <c r="H2294" s="1"/>
    </row>
    <row r="2295" spans="8:8" x14ac:dyDescent="0.4">
      <c r="H2295" s="1"/>
    </row>
    <row r="2296" spans="8:8" x14ac:dyDescent="0.4">
      <c r="H2296" s="1"/>
    </row>
    <row r="2297" spans="8:8" x14ac:dyDescent="0.4">
      <c r="H2297" s="1"/>
    </row>
    <row r="2298" spans="8:8" x14ac:dyDescent="0.4">
      <c r="H2298" s="1"/>
    </row>
    <row r="2299" spans="8:8" x14ac:dyDescent="0.4">
      <c r="H2299" s="1"/>
    </row>
    <row r="2300" spans="8:8" x14ac:dyDescent="0.4">
      <c r="H2300" s="1"/>
    </row>
    <row r="2301" spans="8:8" x14ac:dyDescent="0.4">
      <c r="H2301" s="1"/>
    </row>
    <row r="2302" spans="8:8" x14ac:dyDescent="0.4">
      <c r="H2302" s="1"/>
    </row>
    <row r="2303" spans="8:8" x14ac:dyDescent="0.4">
      <c r="H2303" s="1"/>
    </row>
    <row r="2304" spans="8:8" x14ac:dyDescent="0.4">
      <c r="H2304" s="1"/>
    </row>
    <row r="2305" spans="8:8" x14ac:dyDescent="0.4">
      <c r="H2305" s="1"/>
    </row>
    <row r="2306" spans="8:8" x14ac:dyDescent="0.4">
      <c r="H2306" s="1"/>
    </row>
    <row r="2307" spans="8:8" x14ac:dyDescent="0.4">
      <c r="H2307" s="1"/>
    </row>
    <row r="2308" spans="8:8" x14ac:dyDescent="0.4">
      <c r="H2308" s="1"/>
    </row>
    <row r="2309" spans="8:8" x14ac:dyDescent="0.4">
      <c r="H2309" s="1"/>
    </row>
    <row r="2310" spans="8:8" x14ac:dyDescent="0.4">
      <c r="H2310" s="1"/>
    </row>
    <row r="2311" spans="8:8" x14ac:dyDescent="0.4">
      <c r="H2311" s="1"/>
    </row>
    <row r="2312" spans="8:8" x14ac:dyDescent="0.4">
      <c r="H2312" s="1"/>
    </row>
    <row r="2313" spans="8:8" x14ac:dyDescent="0.4">
      <c r="H2313" s="1"/>
    </row>
    <row r="2314" spans="8:8" x14ac:dyDescent="0.4">
      <c r="H2314" s="1"/>
    </row>
    <row r="2315" spans="8:8" x14ac:dyDescent="0.4">
      <c r="H2315" s="1"/>
    </row>
    <row r="2316" spans="8:8" x14ac:dyDescent="0.4">
      <c r="H2316" s="1"/>
    </row>
    <row r="2317" spans="8:8" x14ac:dyDescent="0.4">
      <c r="H2317" s="1"/>
    </row>
    <row r="2318" spans="8:8" x14ac:dyDescent="0.4">
      <c r="H2318" s="1"/>
    </row>
    <row r="2319" spans="8:8" x14ac:dyDescent="0.4">
      <c r="H2319" s="1"/>
    </row>
    <row r="2320" spans="8:8" x14ac:dyDescent="0.4">
      <c r="H2320" s="1"/>
    </row>
    <row r="2321" spans="8:8" x14ac:dyDescent="0.4">
      <c r="H2321" s="1"/>
    </row>
    <row r="2322" spans="8:8" x14ac:dyDescent="0.4">
      <c r="H2322" s="1"/>
    </row>
    <row r="2323" spans="8:8" x14ac:dyDescent="0.4">
      <c r="H2323" s="1"/>
    </row>
    <row r="2324" spans="8:8" x14ac:dyDescent="0.4">
      <c r="H2324" s="1"/>
    </row>
    <row r="2325" spans="8:8" x14ac:dyDescent="0.4">
      <c r="H2325" s="1"/>
    </row>
    <row r="2326" spans="8:8" x14ac:dyDescent="0.4">
      <c r="H2326" s="1"/>
    </row>
    <row r="2327" spans="8:8" x14ac:dyDescent="0.4">
      <c r="H2327" s="1"/>
    </row>
    <row r="2328" spans="8:8" x14ac:dyDescent="0.4">
      <c r="H2328" s="1"/>
    </row>
    <row r="2329" spans="8:8" x14ac:dyDescent="0.4">
      <c r="H2329" s="1"/>
    </row>
    <row r="2330" spans="8:8" x14ac:dyDescent="0.4">
      <c r="H2330" s="1"/>
    </row>
    <row r="2331" spans="8:8" x14ac:dyDescent="0.4">
      <c r="H2331" s="1"/>
    </row>
    <row r="2332" spans="8:8" x14ac:dyDescent="0.4">
      <c r="H2332" s="1"/>
    </row>
    <row r="2333" spans="8:8" x14ac:dyDescent="0.4">
      <c r="H2333" s="1"/>
    </row>
    <row r="2334" spans="8:8" x14ac:dyDescent="0.4">
      <c r="H2334" s="1"/>
    </row>
    <row r="2335" spans="8:8" x14ac:dyDescent="0.4">
      <c r="H2335" s="1"/>
    </row>
    <row r="2336" spans="8:8" x14ac:dyDescent="0.4">
      <c r="H2336" s="1"/>
    </row>
    <row r="2337" spans="8:8" x14ac:dyDescent="0.4">
      <c r="H2337" s="1"/>
    </row>
    <row r="2338" spans="8:8" x14ac:dyDescent="0.4">
      <c r="H2338" s="1"/>
    </row>
    <row r="2339" spans="8:8" x14ac:dyDescent="0.4">
      <c r="H2339" s="1"/>
    </row>
    <row r="2340" spans="8:8" x14ac:dyDescent="0.4">
      <c r="H2340" s="1"/>
    </row>
    <row r="2341" spans="8:8" x14ac:dyDescent="0.4">
      <c r="H2341" s="1"/>
    </row>
    <row r="2342" spans="8:8" x14ac:dyDescent="0.4">
      <c r="H2342" s="1"/>
    </row>
    <row r="2343" spans="8:8" x14ac:dyDescent="0.4">
      <c r="H2343" s="1"/>
    </row>
    <row r="2344" spans="8:8" x14ac:dyDescent="0.4">
      <c r="H2344" s="1"/>
    </row>
    <row r="2345" spans="8:8" x14ac:dyDescent="0.4">
      <c r="H2345" s="1"/>
    </row>
    <row r="2346" spans="8:8" x14ac:dyDescent="0.4">
      <c r="H2346" s="1"/>
    </row>
    <row r="2347" spans="8:8" x14ac:dyDescent="0.4">
      <c r="H2347" s="1"/>
    </row>
    <row r="2348" spans="8:8" x14ac:dyDescent="0.4">
      <c r="H2348" s="1"/>
    </row>
    <row r="2349" spans="8:8" x14ac:dyDescent="0.4">
      <c r="H2349" s="1"/>
    </row>
    <row r="2350" spans="8:8" x14ac:dyDescent="0.4">
      <c r="H2350" s="1"/>
    </row>
    <row r="2351" spans="8:8" x14ac:dyDescent="0.4">
      <c r="H2351" s="1"/>
    </row>
    <row r="2352" spans="8:8" x14ac:dyDescent="0.4">
      <c r="H2352" s="1"/>
    </row>
    <row r="2353" spans="8:8" x14ac:dyDescent="0.4">
      <c r="H2353" s="1"/>
    </row>
    <row r="2354" spans="8:8" x14ac:dyDescent="0.4">
      <c r="H2354" s="1"/>
    </row>
    <row r="2355" spans="8:8" x14ac:dyDescent="0.4">
      <c r="H2355" s="1"/>
    </row>
    <row r="2356" spans="8:8" x14ac:dyDescent="0.4">
      <c r="H2356" s="1"/>
    </row>
    <row r="2357" spans="8:8" x14ac:dyDescent="0.4">
      <c r="H2357" s="1"/>
    </row>
    <row r="2358" spans="8:8" x14ac:dyDescent="0.4">
      <c r="H2358" s="1"/>
    </row>
    <row r="2359" spans="8:8" x14ac:dyDescent="0.4">
      <c r="H2359" s="1"/>
    </row>
    <row r="2360" spans="8:8" x14ac:dyDescent="0.4">
      <c r="H2360" s="1"/>
    </row>
    <row r="2361" spans="8:8" x14ac:dyDescent="0.4">
      <c r="H2361" s="1"/>
    </row>
    <row r="2362" spans="8:8" x14ac:dyDescent="0.4">
      <c r="H2362" s="1"/>
    </row>
    <row r="2363" spans="8:8" x14ac:dyDescent="0.4">
      <c r="H2363" s="1"/>
    </row>
    <row r="2364" spans="8:8" x14ac:dyDescent="0.4">
      <c r="H2364" s="1"/>
    </row>
    <row r="2365" spans="8:8" x14ac:dyDescent="0.4">
      <c r="H2365" s="1"/>
    </row>
    <row r="2366" spans="8:8" x14ac:dyDescent="0.4">
      <c r="H2366" s="1"/>
    </row>
    <row r="2367" spans="8:8" x14ac:dyDescent="0.4">
      <c r="H2367" s="1"/>
    </row>
    <row r="2368" spans="8:8" x14ac:dyDescent="0.4">
      <c r="H2368" s="1"/>
    </row>
    <row r="2369" spans="8:8" x14ac:dyDescent="0.4">
      <c r="H2369" s="1"/>
    </row>
    <row r="2370" spans="8:8" x14ac:dyDescent="0.4">
      <c r="H2370" s="1"/>
    </row>
    <row r="2371" spans="8:8" x14ac:dyDescent="0.4">
      <c r="H2371" s="1"/>
    </row>
    <row r="2372" spans="8:8" x14ac:dyDescent="0.4">
      <c r="H2372" s="1"/>
    </row>
    <row r="2373" spans="8:8" x14ac:dyDescent="0.4">
      <c r="H2373" s="1"/>
    </row>
    <row r="2374" spans="8:8" x14ac:dyDescent="0.4">
      <c r="H2374" s="1"/>
    </row>
    <row r="2375" spans="8:8" x14ac:dyDescent="0.4">
      <c r="H2375" s="1"/>
    </row>
    <row r="2376" spans="8:8" x14ac:dyDescent="0.4">
      <c r="H2376" s="1"/>
    </row>
    <row r="2377" spans="8:8" x14ac:dyDescent="0.4">
      <c r="H2377" s="1"/>
    </row>
    <row r="2378" spans="8:8" x14ac:dyDescent="0.4">
      <c r="H2378" s="1"/>
    </row>
    <row r="2379" spans="8:8" x14ac:dyDescent="0.4">
      <c r="H2379" s="1"/>
    </row>
    <row r="2380" spans="8:8" x14ac:dyDescent="0.4">
      <c r="H2380" s="1"/>
    </row>
    <row r="2381" spans="8:8" x14ac:dyDescent="0.4">
      <c r="H2381" s="1"/>
    </row>
    <row r="2382" spans="8:8" x14ac:dyDescent="0.4">
      <c r="H2382" s="1"/>
    </row>
    <row r="2383" spans="8:8" x14ac:dyDescent="0.4">
      <c r="H2383" s="1"/>
    </row>
    <row r="2384" spans="8:8" x14ac:dyDescent="0.4">
      <c r="H2384" s="1"/>
    </row>
    <row r="2385" spans="8:8" x14ac:dyDescent="0.4">
      <c r="H2385" s="1"/>
    </row>
    <row r="2386" spans="8:8" x14ac:dyDescent="0.4">
      <c r="H2386" s="1"/>
    </row>
    <row r="2387" spans="8:8" x14ac:dyDescent="0.4">
      <c r="H2387" s="1"/>
    </row>
    <row r="2388" spans="8:8" x14ac:dyDescent="0.4">
      <c r="H2388" s="1"/>
    </row>
    <row r="2389" spans="8:8" x14ac:dyDescent="0.4">
      <c r="H2389" s="1"/>
    </row>
    <row r="2390" spans="8:8" x14ac:dyDescent="0.4">
      <c r="H2390" s="1"/>
    </row>
    <row r="2391" spans="8:8" x14ac:dyDescent="0.4">
      <c r="H2391" s="1"/>
    </row>
    <row r="2392" spans="8:8" x14ac:dyDescent="0.4">
      <c r="H2392" s="1"/>
    </row>
    <row r="2393" spans="8:8" x14ac:dyDescent="0.4">
      <c r="H2393" s="1"/>
    </row>
    <row r="2394" spans="8:8" x14ac:dyDescent="0.4">
      <c r="H2394" s="1"/>
    </row>
    <row r="2395" spans="8:8" x14ac:dyDescent="0.4">
      <c r="H2395" s="1"/>
    </row>
    <row r="2396" spans="8:8" x14ac:dyDescent="0.4">
      <c r="H2396" s="1"/>
    </row>
    <row r="2397" spans="8:8" x14ac:dyDescent="0.4">
      <c r="H2397" s="1"/>
    </row>
    <row r="2398" spans="8:8" x14ac:dyDescent="0.4">
      <c r="H2398" s="1"/>
    </row>
    <row r="2399" spans="8:8" x14ac:dyDescent="0.4">
      <c r="H2399" s="1"/>
    </row>
    <row r="2400" spans="8:8" x14ac:dyDescent="0.4">
      <c r="H2400" s="1"/>
    </row>
    <row r="2401" spans="8:8" x14ac:dyDescent="0.4">
      <c r="H2401" s="1"/>
    </row>
    <row r="2402" spans="8:8" x14ac:dyDescent="0.4">
      <c r="H2402" s="1"/>
    </row>
    <row r="2403" spans="8:8" x14ac:dyDescent="0.4">
      <c r="H2403" s="1"/>
    </row>
    <row r="2404" spans="8:8" x14ac:dyDescent="0.4">
      <c r="H2404" s="1"/>
    </row>
    <row r="2405" spans="8:8" x14ac:dyDescent="0.4">
      <c r="H2405" s="1"/>
    </row>
    <row r="2406" spans="8:8" x14ac:dyDescent="0.4">
      <c r="H2406" s="1"/>
    </row>
    <row r="2407" spans="8:8" x14ac:dyDescent="0.4">
      <c r="H2407" s="1"/>
    </row>
    <row r="2408" spans="8:8" x14ac:dyDescent="0.4">
      <c r="H2408" s="1"/>
    </row>
    <row r="2409" spans="8:8" x14ac:dyDescent="0.4">
      <c r="H2409" s="1"/>
    </row>
    <row r="2410" spans="8:8" x14ac:dyDescent="0.4">
      <c r="H2410" s="1"/>
    </row>
    <row r="2411" spans="8:8" x14ac:dyDescent="0.4">
      <c r="H2411" s="1"/>
    </row>
    <row r="2412" spans="8:8" x14ac:dyDescent="0.4">
      <c r="H2412" s="1"/>
    </row>
    <row r="2413" spans="8:8" x14ac:dyDescent="0.4">
      <c r="H2413" s="1"/>
    </row>
    <row r="2414" spans="8:8" x14ac:dyDescent="0.4">
      <c r="H2414" s="1"/>
    </row>
    <row r="2415" spans="8:8" x14ac:dyDescent="0.4">
      <c r="H2415" s="1"/>
    </row>
    <row r="2416" spans="8:8" x14ac:dyDescent="0.4">
      <c r="H2416" s="1"/>
    </row>
    <row r="2417" spans="8:8" x14ac:dyDescent="0.4">
      <c r="H2417" s="1"/>
    </row>
    <row r="2418" spans="8:8" x14ac:dyDescent="0.4">
      <c r="H2418" s="1"/>
    </row>
    <row r="2419" spans="8:8" x14ac:dyDescent="0.4">
      <c r="H2419" s="1"/>
    </row>
    <row r="2420" spans="8:8" x14ac:dyDescent="0.4">
      <c r="H2420" s="1"/>
    </row>
    <row r="2421" spans="8:8" x14ac:dyDescent="0.4">
      <c r="H2421" s="1"/>
    </row>
    <row r="2422" spans="8:8" x14ac:dyDescent="0.4">
      <c r="H2422" s="1"/>
    </row>
    <row r="2423" spans="8:8" x14ac:dyDescent="0.4">
      <c r="H2423" s="1"/>
    </row>
    <row r="2424" spans="8:8" x14ac:dyDescent="0.4">
      <c r="H2424" s="1"/>
    </row>
    <row r="2425" spans="8:8" x14ac:dyDescent="0.4">
      <c r="H2425" s="1"/>
    </row>
    <row r="2426" spans="8:8" x14ac:dyDescent="0.4">
      <c r="H2426" s="1"/>
    </row>
    <row r="2427" spans="8:8" x14ac:dyDescent="0.4">
      <c r="H2427" s="1"/>
    </row>
    <row r="2428" spans="8:8" x14ac:dyDescent="0.4">
      <c r="H2428" s="1"/>
    </row>
    <row r="2429" spans="8:8" x14ac:dyDescent="0.4">
      <c r="H2429" s="1"/>
    </row>
    <row r="2430" spans="8:8" x14ac:dyDescent="0.4">
      <c r="H2430" s="1"/>
    </row>
    <row r="2431" spans="8:8" x14ac:dyDescent="0.4">
      <c r="H2431" s="1"/>
    </row>
    <row r="2432" spans="8:8" x14ac:dyDescent="0.4">
      <c r="H2432" s="1"/>
    </row>
    <row r="2433" spans="8:8" x14ac:dyDescent="0.4">
      <c r="H2433" s="1"/>
    </row>
    <row r="2434" spans="8:8" x14ac:dyDescent="0.4">
      <c r="H2434" s="1"/>
    </row>
    <row r="2435" spans="8:8" x14ac:dyDescent="0.4">
      <c r="H2435" s="1"/>
    </row>
    <row r="2436" spans="8:8" x14ac:dyDescent="0.4">
      <c r="H2436" s="1"/>
    </row>
    <row r="2437" spans="8:8" x14ac:dyDescent="0.4">
      <c r="H2437" s="1"/>
    </row>
    <row r="2438" spans="8:8" x14ac:dyDescent="0.4">
      <c r="H2438" s="1"/>
    </row>
    <row r="2439" spans="8:8" x14ac:dyDescent="0.4">
      <c r="H2439" s="1"/>
    </row>
    <row r="2440" spans="8:8" x14ac:dyDescent="0.4">
      <c r="H2440" s="1"/>
    </row>
    <row r="2441" spans="8:8" x14ac:dyDescent="0.4">
      <c r="H2441" s="1"/>
    </row>
    <row r="2442" spans="8:8" x14ac:dyDescent="0.4">
      <c r="H2442" s="1"/>
    </row>
    <row r="2443" spans="8:8" x14ac:dyDescent="0.4">
      <c r="H2443" s="1"/>
    </row>
    <row r="2444" spans="8:8" x14ac:dyDescent="0.4">
      <c r="H2444" s="1"/>
    </row>
    <row r="2445" spans="8:8" x14ac:dyDescent="0.4">
      <c r="H2445" s="1"/>
    </row>
    <row r="2446" spans="8:8" x14ac:dyDescent="0.4">
      <c r="H2446" s="1"/>
    </row>
    <row r="2447" spans="8:8" x14ac:dyDescent="0.4">
      <c r="H2447" s="1"/>
    </row>
    <row r="2448" spans="8:8" x14ac:dyDescent="0.4">
      <c r="H2448" s="1"/>
    </row>
    <row r="2449" spans="8:8" x14ac:dyDescent="0.4">
      <c r="H2449" s="1"/>
    </row>
    <row r="2450" spans="8:8" x14ac:dyDescent="0.4">
      <c r="H2450" s="1"/>
    </row>
    <row r="2451" spans="8:8" x14ac:dyDescent="0.4">
      <c r="H2451" s="1"/>
    </row>
    <row r="2452" spans="8:8" x14ac:dyDescent="0.4">
      <c r="H2452" s="1"/>
    </row>
    <row r="2453" spans="8:8" x14ac:dyDescent="0.4">
      <c r="H2453" s="1"/>
    </row>
    <row r="2454" spans="8:8" x14ac:dyDescent="0.4">
      <c r="H2454" s="1"/>
    </row>
    <row r="2455" spans="8:8" x14ac:dyDescent="0.4">
      <c r="H2455" s="1"/>
    </row>
    <row r="2456" spans="8:8" x14ac:dyDescent="0.4">
      <c r="H2456" s="1"/>
    </row>
    <row r="2457" spans="8:8" x14ac:dyDescent="0.4">
      <c r="H2457" s="1"/>
    </row>
    <row r="2458" spans="8:8" x14ac:dyDescent="0.4">
      <c r="H2458" s="1"/>
    </row>
    <row r="2459" spans="8:8" x14ac:dyDescent="0.4">
      <c r="H2459" s="1"/>
    </row>
    <row r="2460" spans="8:8" x14ac:dyDescent="0.4">
      <c r="H2460" s="1"/>
    </row>
    <row r="2461" spans="8:8" x14ac:dyDescent="0.4">
      <c r="H2461" s="1"/>
    </row>
    <row r="2462" spans="8:8" x14ac:dyDescent="0.4">
      <c r="H2462" s="1"/>
    </row>
    <row r="2463" spans="8:8" x14ac:dyDescent="0.4">
      <c r="H2463" s="1"/>
    </row>
    <row r="2464" spans="8:8" x14ac:dyDescent="0.4">
      <c r="H2464" s="1"/>
    </row>
    <row r="2465" spans="8:8" x14ac:dyDescent="0.4">
      <c r="H2465" s="1"/>
    </row>
    <row r="2466" spans="8:8" x14ac:dyDescent="0.4">
      <c r="H2466" s="1"/>
    </row>
    <row r="2467" spans="8:8" x14ac:dyDescent="0.4">
      <c r="H2467" s="1"/>
    </row>
    <row r="2468" spans="8:8" x14ac:dyDescent="0.4">
      <c r="H2468" s="1"/>
    </row>
    <row r="2469" spans="8:8" x14ac:dyDescent="0.4">
      <c r="H2469" s="1"/>
    </row>
    <row r="2470" spans="8:8" x14ac:dyDescent="0.4">
      <c r="H2470" s="1"/>
    </row>
    <row r="2471" spans="8:8" x14ac:dyDescent="0.4">
      <c r="H2471" s="1"/>
    </row>
    <row r="2472" spans="8:8" x14ac:dyDescent="0.4">
      <c r="H2472" s="1"/>
    </row>
    <row r="2473" spans="8:8" x14ac:dyDescent="0.4">
      <c r="H2473" s="1"/>
    </row>
    <row r="2474" spans="8:8" x14ac:dyDescent="0.4">
      <c r="H2474" s="1"/>
    </row>
    <row r="2475" spans="8:8" x14ac:dyDescent="0.4">
      <c r="H2475" s="1"/>
    </row>
    <row r="2476" spans="8:8" x14ac:dyDescent="0.4">
      <c r="H2476" s="1"/>
    </row>
    <row r="2477" spans="8:8" x14ac:dyDescent="0.4">
      <c r="H2477" s="1"/>
    </row>
    <row r="2478" spans="8:8" x14ac:dyDescent="0.4">
      <c r="H2478" s="1"/>
    </row>
    <row r="2479" spans="8:8" x14ac:dyDescent="0.4">
      <c r="H2479" s="1"/>
    </row>
    <row r="2480" spans="8:8" x14ac:dyDescent="0.4">
      <c r="H2480" s="1"/>
    </row>
    <row r="2481" spans="8:8" x14ac:dyDescent="0.4">
      <c r="H2481" s="1"/>
    </row>
    <row r="2482" spans="8:8" x14ac:dyDescent="0.4">
      <c r="H2482" s="1"/>
    </row>
    <row r="2483" spans="8:8" x14ac:dyDescent="0.4">
      <c r="H2483" s="1"/>
    </row>
    <row r="2484" spans="8:8" x14ac:dyDescent="0.4">
      <c r="H2484" s="1"/>
    </row>
    <row r="2485" spans="8:8" x14ac:dyDescent="0.4">
      <c r="H2485" s="1"/>
    </row>
    <row r="2486" spans="8:8" x14ac:dyDescent="0.4">
      <c r="H2486" s="1"/>
    </row>
    <row r="2487" spans="8:8" x14ac:dyDescent="0.4">
      <c r="H2487" s="1"/>
    </row>
    <row r="2488" spans="8:8" x14ac:dyDescent="0.4">
      <c r="H2488" s="1"/>
    </row>
    <row r="2489" spans="8:8" x14ac:dyDescent="0.4">
      <c r="H2489" s="1"/>
    </row>
    <row r="2490" spans="8:8" x14ac:dyDescent="0.4">
      <c r="H2490" s="1"/>
    </row>
    <row r="2491" spans="8:8" x14ac:dyDescent="0.4">
      <c r="H2491" s="1"/>
    </row>
    <row r="2492" spans="8:8" x14ac:dyDescent="0.4">
      <c r="H2492" s="1"/>
    </row>
    <row r="2493" spans="8:8" x14ac:dyDescent="0.4">
      <c r="H2493" s="1"/>
    </row>
    <row r="2494" spans="8:8" x14ac:dyDescent="0.4">
      <c r="H2494" s="1"/>
    </row>
    <row r="2495" spans="8:8" x14ac:dyDescent="0.4">
      <c r="H2495" s="1"/>
    </row>
    <row r="2496" spans="8:8" x14ac:dyDescent="0.4">
      <c r="H2496" s="1"/>
    </row>
    <row r="2497" spans="8:8" x14ac:dyDescent="0.4">
      <c r="H2497" s="1"/>
    </row>
    <row r="2498" spans="8:8" x14ac:dyDescent="0.4">
      <c r="H2498" s="1"/>
    </row>
    <row r="2499" spans="8:8" x14ac:dyDescent="0.4">
      <c r="H2499" s="1"/>
    </row>
    <row r="2500" spans="8:8" x14ac:dyDescent="0.4">
      <c r="H2500" s="1"/>
    </row>
    <row r="2501" spans="8:8" x14ac:dyDescent="0.4">
      <c r="H2501" s="1"/>
    </row>
    <row r="2502" spans="8:8" x14ac:dyDescent="0.4">
      <c r="H2502" s="1"/>
    </row>
    <row r="2503" spans="8:8" x14ac:dyDescent="0.4">
      <c r="H2503" s="1"/>
    </row>
    <row r="2504" spans="8:8" x14ac:dyDescent="0.4">
      <c r="H2504" s="1"/>
    </row>
    <row r="2505" spans="8:8" x14ac:dyDescent="0.4">
      <c r="H2505" s="1"/>
    </row>
    <row r="2506" spans="8:8" x14ac:dyDescent="0.4">
      <c r="H2506" s="1"/>
    </row>
    <row r="2507" spans="8:8" x14ac:dyDescent="0.4">
      <c r="H2507" s="1"/>
    </row>
    <row r="2508" spans="8:8" x14ac:dyDescent="0.4">
      <c r="H2508" s="1"/>
    </row>
    <row r="2509" spans="8:8" x14ac:dyDescent="0.4">
      <c r="H2509" s="1"/>
    </row>
    <row r="2510" spans="8:8" x14ac:dyDescent="0.4">
      <c r="H2510" s="1"/>
    </row>
    <row r="2511" spans="8:8" x14ac:dyDescent="0.4">
      <c r="H2511" s="1"/>
    </row>
    <row r="2512" spans="8:8" x14ac:dyDescent="0.4">
      <c r="H2512" s="1"/>
    </row>
    <row r="2513" spans="8:8" x14ac:dyDescent="0.4">
      <c r="H2513" s="1"/>
    </row>
    <row r="2514" spans="8:8" x14ac:dyDescent="0.4">
      <c r="H2514" s="1"/>
    </row>
    <row r="2515" spans="8:8" x14ac:dyDescent="0.4">
      <c r="H2515" s="1"/>
    </row>
    <row r="2516" spans="8:8" x14ac:dyDescent="0.4">
      <c r="H2516" s="1"/>
    </row>
    <row r="2517" spans="8:8" x14ac:dyDescent="0.4">
      <c r="H2517" s="1"/>
    </row>
    <row r="2518" spans="8:8" x14ac:dyDescent="0.4">
      <c r="H2518" s="1"/>
    </row>
    <row r="2519" spans="8:8" x14ac:dyDescent="0.4">
      <c r="H2519" s="1"/>
    </row>
    <row r="2520" spans="8:8" x14ac:dyDescent="0.4">
      <c r="H2520" s="1"/>
    </row>
    <row r="2521" spans="8:8" x14ac:dyDescent="0.4">
      <c r="H2521" s="1"/>
    </row>
    <row r="2522" spans="8:8" x14ac:dyDescent="0.4">
      <c r="H2522" s="1"/>
    </row>
    <row r="2523" spans="8:8" x14ac:dyDescent="0.4">
      <c r="H2523" s="1"/>
    </row>
    <row r="2524" spans="8:8" x14ac:dyDescent="0.4">
      <c r="H2524" s="1"/>
    </row>
    <row r="2525" spans="8:8" x14ac:dyDescent="0.4">
      <c r="H2525" s="1"/>
    </row>
    <row r="2526" spans="8:8" x14ac:dyDescent="0.4">
      <c r="H2526" s="1"/>
    </row>
    <row r="2527" spans="8:8" x14ac:dyDescent="0.4">
      <c r="H2527" s="1"/>
    </row>
    <row r="2528" spans="8:8" x14ac:dyDescent="0.4">
      <c r="H2528" s="1"/>
    </row>
    <row r="2529" spans="8:8" x14ac:dyDescent="0.4">
      <c r="H2529" s="1"/>
    </row>
    <row r="2530" spans="8:8" x14ac:dyDescent="0.4">
      <c r="H2530" s="1"/>
    </row>
    <row r="2531" spans="8:8" x14ac:dyDescent="0.4">
      <c r="H2531" s="1"/>
    </row>
    <row r="2532" spans="8:8" x14ac:dyDescent="0.4">
      <c r="H2532" s="1"/>
    </row>
    <row r="2533" spans="8:8" x14ac:dyDescent="0.4">
      <c r="H2533" s="1"/>
    </row>
    <row r="2534" spans="8:8" x14ac:dyDescent="0.4">
      <c r="H2534" s="1"/>
    </row>
    <row r="2535" spans="8:8" x14ac:dyDescent="0.4">
      <c r="H2535" s="1"/>
    </row>
    <row r="2536" spans="8:8" x14ac:dyDescent="0.4">
      <c r="H2536" s="1"/>
    </row>
    <row r="2537" spans="8:8" x14ac:dyDescent="0.4">
      <c r="H2537" s="1"/>
    </row>
    <row r="2538" spans="8:8" x14ac:dyDescent="0.4">
      <c r="H2538" s="1"/>
    </row>
    <row r="2539" spans="8:8" x14ac:dyDescent="0.4">
      <c r="H2539" s="1"/>
    </row>
    <row r="2540" spans="8:8" x14ac:dyDescent="0.4">
      <c r="H2540" s="1"/>
    </row>
    <row r="2541" spans="8:8" x14ac:dyDescent="0.4">
      <c r="H2541" s="1"/>
    </row>
    <row r="2542" spans="8:8" x14ac:dyDescent="0.4">
      <c r="H2542" s="1"/>
    </row>
    <row r="2543" spans="8:8" x14ac:dyDescent="0.4">
      <c r="H2543" s="1"/>
    </row>
    <row r="2544" spans="8:8" x14ac:dyDescent="0.4">
      <c r="H2544" s="1"/>
    </row>
    <row r="2545" spans="8:8" x14ac:dyDescent="0.4">
      <c r="H2545" s="1"/>
    </row>
    <row r="2546" spans="8:8" x14ac:dyDescent="0.4">
      <c r="H2546" s="1"/>
    </row>
    <row r="2547" spans="8:8" x14ac:dyDescent="0.4">
      <c r="H2547" s="1"/>
    </row>
    <row r="2548" spans="8:8" x14ac:dyDescent="0.4">
      <c r="H2548" s="1"/>
    </row>
    <row r="2549" spans="8:8" x14ac:dyDescent="0.4">
      <c r="H2549" s="1"/>
    </row>
    <row r="2550" spans="8:8" x14ac:dyDescent="0.4">
      <c r="H2550" s="1"/>
    </row>
    <row r="2551" spans="8:8" x14ac:dyDescent="0.4">
      <c r="H2551" s="1"/>
    </row>
    <row r="2552" spans="8:8" x14ac:dyDescent="0.4">
      <c r="H2552" s="1"/>
    </row>
    <row r="2553" spans="8:8" x14ac:dyDescent="0.4">
      <c r="H2553" s="1"/>
    </row>
    <row r="2554" spans="8:8" x14ac:dyDescent="0.4">
      <c r="H2554" s="1"/>
    </row>
    <row r="2555" spans="8:8" x14ac:dyDescent="0.4">
      <c r="H2555" s="1"/>
    </row>
    <row r="2556" spans="8:8" x14ac:dyDescent="0.4">
      <c r="H2556" s="1"/>
    </row>
    <row r="2557" spans="8:8" x14ac:dyDescent="0.4">
      <c r="H2557" s="1"/>
    </row>
    <row r="2558" spans="8:8" x14ac:dyDescent="0.4">
      <c r="H2558" s="1"/>
    </row>
    <row r="2559" spans="8:8" x14ac:dyDescent="0.4">
      <c r="H2559" s="1"/>
    </row>
    <row r="2560" spans="8:8" x14ac:dyDescent="0.4">
      <c r="H2560" s="1"/>
    </row>
    <row r="2561" spans="8:8" x14ac:dyDescent="0.4">
      <c r="H2561" s="1"/>
    </row>
    <row r="2562" spans="8:8" x14ac:dyDescent="0.4">
      <c r="H2562" s="1"/>
    </row>
    <row r="2563" spans="8:8" x14ac:dyDescent="0.4">
      <c r="H2563" s="1"/>
    </row>
    <row r="2564" spans="8:8" x14ac:dyDescent="0.4">
      <c r="H2564" s="1"/>
    </row>
    <row r="2565" spans="8:8" x14ac:dyDescent="0.4">
      <c r="H2565" s="1"/>
    </row>
    <row r="2566" spans="8:8" x14ac:dyDescent="0.4">
      <c r="H2566" s="1"/>
    </row>
    <row r="2567" spans="8:8" x14ac:dyDescent="0.4">
      <c r="H2567" s="1"/>
    </row>
    <row r="2568" spans="8:8" x14ac:dyDescent="0.4">
      <c r="H2568" s="1"/>
    </row>
    <row r="2569" spans="8:8" x14ac:dyDescent="0.4">
      <c r="H2569" s="1"/>
    </row>
    <row r="2570" spans="8:8" x14ac:dyDescent="0.4">
      <c r="H2570" s="1"/>
    </row>
    <row r="2571" spans="8:8" x14ac:dyDescent="0.4">
      <c r="H2571" s="1"/>
    </row>
    <row r="2572" spans="8:8" x14ac:dyDescent="0.4">
      <c r="H2572" s="1"/>
    </row>
    <row r="2573" spans="8:8" x14ac:dyDescent="0.4">
      <c r="H2573" s="1"/>
    </row>
    <row r="2574" spans="8:8" x14ac:dyDescent="0.4">
      <c r="H2574" s="1"/>
    </row>
    <row r="2575" spans="8:8" x14ac:dyDescent="0.4">
      <c r="H2575" s="1"/>
    </row>
    <row r="2576" spans="8:8" x14ac:dyDescent="0.4">
      <c r="H2576" s="1"/>
    </row>
    <row r="2577" spans="8:8" x14ac:dyDescent="0.4">
      <c r="H2577" s="1"/>
    </row>
    <row r="2578" spans="8:8" x14ac:dyDescent="0.4">
      <c r="H2578" s="1"/>
    </row>
    <row r="2579" spans="8:8" x14ac:dyDescent="0.4">
      <c r="H2579" s="1"/>
    </row>
    <row r="2580" spans="8:8" x14ac:dyDescent="0.4">
      <c r="H2580" s="1"/>
    </row>
    <row r="2581" spans="8:8" x14ac:dyDescent="0.4">
      <c r="H2581" s="1"/>
    </row>
    <row r="2582" spans="8:8" x14ac:dyDescent="0.4">
      <c r="H2582" s="1"/>
    </row>
    <row r="2583" spans="8:8" x14ac:dyDescent="0.4">
      <c r="H2583" s="1"/>
    </row>
    <row r="2584" spans="8:8" x14ac:dyDescent="0.4">
      <c r="H2584" s="1"/>
    </row>
    <row r="2585" spans="8:8" x14ac:dyDescent="0.4">
      <c r="H2585" s="1"/>
    </row>
    <row r="2586" spans="8:8" x14ac:dyDescent="0.4">
      <c r="H2586" s="1"/>
    </row>
    <row r="2587" spans="8:8" x14ac:dyDescent="0.4">
      <c r="H2587" s="1"/>
    </row>
    <row r="2588" spans="8:8" x14ac:dyDescent="0.4">
      <c r="H2588" s="1"/>
    </row>
    <row r="2589" spans="8:8" x14ac:dyDescent="0.4">
      <c r="H2589" s="1"/>
    </row>
    <row r="2590" spans="8:8" x14ac:dyDescent="0.4">
      <c r="H2590" s="1"/>
    </row>
    <row r="2591" spans="8:8" x14ac:dyDescent="0.4">
      <c r="H2591" s="1"/>
    </row>
    <row r="2592" spans="8:8" x14ac:dyDescent="0.4">
      <c r="H2592" s="1"/>
    </row>
    <row r="2593" spans="8:8" x14ac:dyDescent="0.4">
      <c r="H2593" s="1"/>
    </row>
    <row r="2594" spans="8:8" x14ac:dyDescent="0.4">
      <c r="H2594" s="1"/>
    </row>
    <row r="2595" spans="8:8" x14ac:dyDescent="0.4">
      <c r="H2595" s="1"/>
    </row>
    <row r="2596" spans="8:8" x14ac:dyDescent="0.4">
      <c r="H2596" s="1"/>
    </row>
    <row r="2597" spans="8:8" x14ac:dyDescent="0.4">
      <c r="H2597" s="1"/>
    </row>
    <row r="2598" spans="8:8" x14ac:dyDescent="0.4">
      <c r="H2598" s="1"/>
    </row>
    <row r="2599" spans="8:8" x14ac:dyDescent="0.4">
      <c r="H2599" s="1"/>
    </row>
    <row r="2600" spans="8:8" x14ac:dyDescent="0.4">
      <c r="H2600" s="1"/>
    </row>
    <row r="2601" spans="8:8" x14ac:dyDescent="0.4">
      <c r="H2601" s="1"/>
    </row>
    <row r="2602" spans="8:8" x14ac:dyDescent="0.4">
      <c r="H2602" s="1"/>
    </row>
    <row r="2603" spans="8:8" x14ac:dyDescent="0.4">
      <c r="H2603" s="1"/>
    </row>
    <row r="2604" spans="8:8" x14ac:dyDescent="0.4">
      <c r="H2604" s="1"/>
    </row>
    <row r="2605" spans="8:8" x14ac:dyDescent="0.4">
      <c r="H2605" s="1"/>
    </row>
    <row r="2606" spans="8:8" x14ac:dyDescent="0.4">
      <c r="H2606" s="1"/>
    </row>
    <row r="2607" spans="8:8" x14ac:dyDescent="0.4">
      <c r="H2607" s="1"/>
    </row>
    <row r="2608" spans="8:8" x14ac:dyDescent="0.4">
      <c r="H2608" s="1"/>
    </row>
    <row r="2609" spans="8:8" x14ac:dyDescent="0.4">
      <c r="H2609" s="1"/>
    </row>
    <row r="2610" spans="8:8" x14ac:dyDescent="0.4">
      <c r="H2610" s="1"/>
    </row>
    <row r="2611" spans="8:8" x14ac:dyDescent="0.4">
      <c r="H2611" s="1"/>
    </row>
    <row r="2612" spans="8:8" x14ac:dyDescent="0.4">
      <c r="H2612" s="1"/>
    </row>
    <row r="2613" spans="8:8" x14ac:dyDescent="0.4">
      <c r="H2613" s="1"/>
    </row>
    <row r="2614" spans="8:8" x14ac:dyDescent="0.4">
      <c r="H2614" s="1"/>
    </row>
    <row r="2615" spans="8:8" x14ac:dyDescent="0.4">
      <c r="H2615" s="1"/>
    </row>
    <row r="2616" spans="8:8" x14ac:dyDescent="0.4">
      <c r="H2616" s="1"/>
    </row>
    <row r="2617" spans="8:8" x14ac:dyDescent="0.4">
      <c r="H2617" s="1"/>
    </row>
    <row r="2618" spans="8:8" x14ac:dyDescent="0.4">
      <c r="H2618" s="1"/>
    </row>
    <row r="2619" spans="8:8" x14ac:dyDescent="0.4">
      <c r="H2619" s="1"/>
    </row>
    <row r="2620" spans="8:8" x14ac:dyDescent="0.4">
      <c r="H2620" s="1"/>
    </row>
    <row r="2621" spans="8:8" x14ac:dyDescent="0.4">
      <c r="H2621" s="1"/>
    </row>
    <row r="2622" spans="8:8" x14ac:dyDescent="0.4">
      <c r="H2622" s="1"/>
    </row>
    <row r="2623" spans="8:8" x14ac:dyDescent="0.4">
      <c r="H2623" s="1"/>
    </row>
    <row r="2624" spans="8:8" x14ac:dyDescent="0.4">
      <c r="H2624" s="1"/>
    </row>
    <row r="2625" spans="8:8" x14ac:dyDescent="0.4">
      <c r="H2625" s="1"/>
    </row>
    <row r="2626" spans="8:8" x14ac:dyDescent="0.4">
      <c r="H2626" s="1"/>
    </row>
    <row r="2627" spans="8:8" x14ac:dyDescent="0.4">
      <c r="H2627" s="1"/>
    </row>
    <row r="2628" spans="8:8" x14ac:dyDescent="0.4">
      <c r="H2628" s="1"/>
    </row>
    <row r="2629" spans="8:8" x14ac:dyDescent="0.4">
      <c r="H2629" s="1"/>
    </row>
    <row r="2630" spans="8:8" x14ac:dyDescent="0.4">
      <c r="H2630" s="1"/>
    </row>
    <row r="2631" spans="8:8" x14ac:dyDescent="0.4">
      <c r="H2631" s="1"/>
    </row>
    <row r="2632" spans="8:8" x14ac:dyDescent="0.4">
      <c r="H2632" s="1"/>
    </row>
    <row r="2633" spans="8:8" x14ac:dyDescent="0.4">
      <c r="H2633" s="1"/>
    </row>
    <row r="2634" spans="8:8" x14ac:dyDescent="0.4">
      <c r="H2634" s="1"/>
    </row>
    <row r="2635" spans="8:8" x14ac:dyDescent="0.4">
      <c r="H2635" s="1"/>
    </row>
    <row r="2636" spans="8:8" x14ac:dyDescent="0.4">
      <c r="H2636" s="1"/>
    </row>
    <row r="2637" spans="8:8" x14ac:dyDescent="0.4">
      <c r="H2637" s="1"/>
    </row>
    <row r="2638" spans="8:8" x14ac:dyDescent="0.4">
      <c r="H2638" s="1"/>
    </row>
    <row r="2639" spans="8:8" x14ac:dyDescent="0.4">
      <c r="H2639" s="1"/>
    </row>
    <row r="2640" spans="8:8" x14ac:dyDescent="0.4">
      <c r="H2640" s="1"/>
    </row>
    <row r="2641" spans="8:8" x14ac:dyDescent="0.4">
      <c r="H2641" s="1"/>
    </row>
    <row r="2642" spans="8:8" x14ac:dyDescent="0.4">
      <c r="H2642" s="1"/>
    </row>
    <row r="2643" spans="8:8" x14ac:dyDescent="0.4">
      <c r="H2643" s="1"/>
    </row>
    <row r="2644" spans="8:8" x14ac:dyDescent="0.4">
      <c r="H2644" s="1"/>
    </row>
    <row r="2645" spans="8:8" x14ac:dyDescent="0.4">
      <c r="H2645" s="1"/>
    </row>
    <row r="2646" spans="8:8" x14ac:dyDescent="0.4">
      <c r="H2646" s="1"/>
    </row>
    <row r="2647" spans="8:8" x14ac:dyDescent="0.4">
      <c r="H2647" s="1"/>
    </row>
    <row r="2648" spans="8:8" x14ac:dyDescent="0.4">
      <c r="H2648" s="1"/>
    </row>
    <row r="2649" spans="8:8" x14ac:dyDescent="0.4">
      <c r="H2649" s="1"/>
    </row>
    <row r="2650" spans="8:8" x14ac:dyDescent="0.4">
      <c r="H2650" s="1"/>
    </row>
    <row r="2651" spans="8:8" x14ac:dyDescent="0.4">
      <c r="H2651" s="1"/>
    </row>
    <row r="2652" spans="8:8" x14ac:dyDescent="0.4">
      <c r="H2652" s="1"/>
    </row>
    <row r="2653" spans="8:8" x14ac:dyDescent="0.4">
      <c r="H2653" s="1"/>
    </row>
    <row r="2654" spans="8:8" x14ac:dyDescent="0.4">
      <c r="H2654" s="1"/>
    </row>
    <row r="2655" spans="8:8" x14ac:dyDescent="0.4">
      <c r="H2655" s="1"/>
    </row>
    <row r="2656" spans="8:8" x14ac:dyDescent="0.4">
      <c r="H2656" s="1"/>
    </row>
    <row r="2657" spans="8:8" x14ac:dyDescent="0.4">
      <c r="H2657" s="1"/>
    </row>
    <row r="2658" spans="8:8" x14ac:dyDescent="0.4">
      <c r="H2658" s="1"/>
    </row>
    <row r="2659" spans="8:8" x14ac:dyDescent="0.4">
      <c r="H2659" s="1"/>
    </row>
    <row r="2660" spans="8:8" x14ac:dyDescent="0.4">
      <c r="H2660" s="1"/>
    </row>
    <row r="2661" spans="8:8" x14ac:dyDescent="0.4">
      <c r="H2661" s="1"/>
    </row>
    <row r="2662" spans="8:8" x14ac:dyDescent="0.4">
      <c r="H2662" s="1"/>
    </row>
    <row r="2663" spans="8:8" x14ac:dyDescent="0.4">
      <c r="H2663" s="1"/>
    </row>
    <row r="2664" spans="8:8" x14ac:dyDescent="0.4">
      <c r="H2664" s="1"/>
    </row>
    <row r="2665" spans="8:8" x14ac:dyDescent="0.4">
      <c r="H2665" s="1"/>
    </row>
    <row r="2666" spans="8:8" x14ac:dyDescent="0.4">
      <c r="H2666" s="1"/>
    </row>
    <row r="2667" spans="8:8" x14ac:dyDescent="0.4">
      <c r="H2667" s="1"/>
    </row>
    <row r="2668" spans="8:8" x14ac:dyDescent="0.4">
      <c r="H2668" s="1"/>
    </row>
    <row r="2669" spans="8:8" x14ac:dyDescent="0.4">
      <c r="H2669" s="1"/>
    </row>
    <row r="2670" spans="8:8" x14ac:dyDescent="0.4">
      <c r="H2670" s="1"/>
    </row>
    <row r="2671" spans="8:8" x14ac:dyDescent="0.4">
      <c r="H2671" s="1"/>
    </row>
    <row r="2672" spans="8:8" x14ac:dyDescent="0.4">
      <c r="H2672" s="1"/>
    </row>
    <row r="2673" spans="8:8" x14ac:dyDescent="0.4">
      <c r="H2673" s="1"/>
    </row>
    <row r="2674" spans="8:8" x14ac:dyDescent="0.4">
      <c r="H2674" s="1"/>
    </row>
    <row r="2675" spans="8:8" x14ac:dyDescent="0.4">
      <c r="H2675" s="1"/>
    </row>
    <row r="2676" spans="8:8" x14ac:dyDescent="0.4">
      <c r="H2676" s="1"/>
    </row>
    <row r="2677" spans="8:8" x14ac:dyDescent="0.4">
      <c r="H2677" s="1"/>
    </row>
    <row r="2678" spans="8:8" x14ac:dyDescent="0.4">
      <c r="H2678" s="1"/>
    </row>
    <row r="2679" spans="8:8" x14ac:dyDescent="0.4">
      <c r="H2679" s="1"/>
    </row>
    <row r="2680" spans="8:8" x14ac:dyDescent="0.4">
      <c r="H2680" s="1"/>
    </row>
    <row r="2681" spans="8:8" x14ac:dyDescent="0.4">
      <c r="H2681" s="1"/>
    </row>
    <row r="2682" spans="8:8" x14ac:dyDescent="0.4">
      <c r="H2682" s="1"/>
    </row>
    <row r="2683" spans="8:8" x14ac:dyDescent="0.4">
      <c r="H2683" s="1"/>
    </row>
    <row r="2684" spans="8:8" x14ac:dyDescent="0.4">
      <c r="H2684" s="1"/>
    </row>
    <row r="2685" spans="8:8" x14ac:dyDescent="0.4">
      <c r="H2685" s="1"/>
    </row>
    <row r="2686" spans="8:8" x14ac:dyDescent="0.4">
      <c r="H2686" s="1"/>
    </row>
    <row r="2687" spans="8:8" x14ac:dyDescent="0.4">
      <c r="H2687" s="1"/>
    </row>
    <row r="2688" spans="8:8" x14ac:dyDescent="0.4">
      <c r="H2688" s="1"/>
    </row>
    <row r="2689" spans="8:8" x14ac:dyDescent="0.4">
      <c r="H2689" s="1"/>
    </row>
    <row r="2690" spans="8:8" x14ac:dyDescent="0.4">
      <c r="H2690" s="1"/>
    </row>
    <row r="2691" spans="8:8" x14ac:dyDescent="0.4">
      <c r="H2691" s="1"/>
    </row>
    <row r="2692" spans="8:8" x14ac:dyDescent="0.4">
      <c r="H2692" s="1"/>
    </row>
    <row r="2693" spans="8:8" x14ac:dyDescent="0.4">
      <c r="H2693" s="1"/>
    </row>
    <row r="2694" spans="8:8" x14ac:dyDescent="0.4">
      <c r="H2694" s="1"/>
    </row>
    <row r="2695" spans="8:8" x14ac:dyDescent="0.4">
      <c r="H2695" s="1"/>
    </row>
    <row r="2696" spans="8:8" x14ac:dyDescent="0.4">
      <c r="H2696" s="1"/>
    </row>
    <row r="2697" spans="8:8" x14ac:dyDescent="0.4">
      <c r="H2697" s="1"/>
    </row>
    <row r="2698" spans="8:8" x14ac:dyDescent="0.4">
      <c r="H2698" s="1"/>
    </row>
    <row r="2699" spans="8:8" x14ac:dyDescent="0.4">
      <c r="H2699" s="1"/>
    </row>
    <row r="2700" spans="8:8" x14ac:dyDescent="0.4">
      <c r="H2700" s="1"/>
    </row>
    <row r="2701" spans="8:8" x14ac:dyDescent="0.4">
      <c r="H2701" s="1"/>
    </row>
    <row r="2702" spans="8:8" x14ac:dyDescent="0.4">
      <c r="H2702" s="1"/>
    </row>
    <row r="2703" spans="8:8" x14ac:dyDescent="0.4">
      <c r="H2703" s="1"/>
    </row>
    <row r="2704" spans="8:8" x14ac:dyDescent="0.4">
      <c r="H2704" s="1"/>
    </row>
    <row r="2705" spans="8:8" x14ac:dyDescent="0.4">
      <c r="H2705" s="1"/>
    </row>
    <row r="2706" spans="8:8" x14ac:dyDescent="0.4">
      <c r="H2706" s="1"/>
    </row>
    <row r="2707" spans="8:8" x14ac:dyDescent="0.4">
      <c r="H2707" s="1"/>
    </row>
    <row r="2708" spans="8:8" x14ac:dyDescent="0.4">
      <c r="H2708" s="1"/>
    </row>
    <row r="2709" spans="8:8" x14ac:dyDescent="0.4">
      <c r="H2709" s="1"/>
    </row>
    <row r="2710" spans="8:8" x14ac:dyDescent="0.4">
      <c r="H2710" s="1"/>
    </row>
    <row r="2711" spans="8:8" x14ac:dyDescent="0.4">
      <c r="H2711" s="1"/>
    </row>
    <row r="2712" spans="8:8" x14ac:dyDescent="0.4">
      <c r="H2712" s="1"/>
    </row>
    <row r="2713" spans="8:8" x14ac:dyDescent="0.4">
      <c r="H2713" s="1"/>
    </row>
    <row r="2714" spans="8:8" x14ac:dyDescent="0.4">
      <c r="H2714" s="1"/>
    </row>
    <row r="2715" spans="8:8" x14ac:dyDescent="0.4">
      <c r="H2715" s="1"/>
    </row>
    <row r="2716" spans="8:8" x14ac:dyDescent="0.4">
      <c r="H2716" s="1"/>
    </row>
    <row r="2717" spans="8:8" x14ac:dyDescent="0.4">
      <c r="H2717" s="1"/>
    </row>
    <row r="2718" spans="8:8" x14ac:dyDescent="0.4">
      <c r="H2718" s="1"/>
    </row>
    <row r="2719" spans="8:8" x14ac:dyDescent="0.4">
      <c r="H2719" s="1"/>
    </row>
    <row r="2720" spans="8:8" x14ac:dyDescent="0.4">
      <c r="H2720" s="1"/>
    </row>
    <row r="2721" spans="8:8" x14ac:dyDescent="0.4">
      <c r="H2721" s="1"/>
    </row>
    <row r="2722" spans="8:8" x14ac:dyDescent="0.4">
      <c r="H2722" s="1"/>
    </row>
    <row r="2723" spans="8:8" x14ac:dyDescent="0.4">
      <c r="H2723" s="1"/>
    </row>
    <row r="2724" spans="8:8" x14ac:dyDescent="0.4">
      <c r="H2724" s="1"/>
    </row>
    <row r="2725" spans="8:8" x14ac:dyDescent="0.4">
      <c r="H2725" s="1"/>
    </row>
    <row r="2726" spans="8:8" x14ac:dyDescent="0.4">
      <c r="H2726" s="1"/>
    </row>
    <row r="2727" spans="8:8" x14ac:dyDescent="0.4">
      <c r="H2727" s="1"/>
    </row>
    <row r="2728" spans="8:8" x14ac:dyDescent="0.4">
      <c r="H2728" s="1"/>
    </row>
    <row r="2729" spans="8:8" x14ac:dyDescent="0.4">
      <c r="H2729" s="1"/>
    </row>
    <row r="2730" spans="8:8" x14ac:dyDescent="0.4">
      <c r="H2730" s="1"/>
    </row>
    <row r="2731" spans="8:8" x14ac:dyDescent="0.4">
      <c r="H2731" s="1"/>
    </row>
    <row r="2732" spans="8:8" x14ac:dyDescent="0.4">
      <c r="H2732" s="1"/>
    </row>
    <row r="2733" spans="8:8" x14ac:dyDescent="0.4">
      <c r="H2733" s="1"/>
    </row>
    <row r="2734" spans="8:8" x14ac:dyDescent="0.4">
      <c r="H2734" s="1"/>
    </row>
    <row r="2735" spans="8:8" x14ac:dyDescent="0.4">
      <c r="H2735" s="1"/>
    </row>
    <row r="2736" spans="8:8" x14ac:dyDescent="0.4">
      <c r="H2736" s="1"/>
    </row>
    <row r="2737" spans="8:8" x14ac:dyDescent="0.4">
      <c r="H2737" s="1"/>
    </row>
    <row r="2738" spans="8:8" x14ac:dyDescent="0.4">
      <c r="H2738" s="1"/>
    </row>
    <row r="2739" spans="8:8" x14ac:dyDescent="0.4">
      <c r="H2739" s="1"/>
    </row>
    <row r="2740" spans="8:8" x14ac:dyDescent="0.4">
      <c r="H2740" s="1"/>
    </row>
    <row r="2741" spans="8:8" x14ac:dyDescent="0.4">
      <c r="H2741" s="1"/>
    </row>
    <row r="2742" spans="8:8" x14ac:dyDescent="0.4">
      <c r="H2742" s="1"/>
    </row>
    <row r="2743" spans="8:8" x14ac:dyDescent="0.4">
      <c r="H2743" s="1"/>
    </row>
    <row r="2744" spans="8:8" x14ac:dyDescent="0.4">
      <c r="H2744" s="1"/>
    </row>
    <row r="2745" spans="8:8" x14ac:dyDescent="0.4">
      <c r="H2745" s="1"/>
    </row>
    <row r="2746" spans="8:8" x14ac:dyDescent="0.4">
      <c r="H2746" s="1"/>
    </row>
    <row r="2747" spans="8:8" x14ac:dyDescent="0.4">
      <c r="H2747" s="1"/>
    </row>
    <row r="2748" spans="8:8" x14ac:dyDescent="0.4">
      <c r="H2748" s="1"/>
    </row>
    <row r="2749" spans="8:8" x14ac:dyDescent="0.4">
      <c r="H2749" s="1"/>
    </row>
    <row r="2750" spans="8:8" x14ac:dyDescent="0.4">
      <c r="H2750" s="1"/>
    </row>
    <row r="2751" spans="8:8" x14ac:dyDescent="0.4">
      <c r="H2751" s="1"/>
    </row>
    <row r="2752" spans="8:8" x14ac:dyDescent="0.4">
      <c r="H2752" s="1"/>
    </row>
    <row r="2753" spans="8:8" x14ac:dyDescent="0.4">
      <c r="H2753" s="1"/>
    </row>
    <row r="2754" spans="8:8" x14ac:dyDescent="0.4">
      <c r="H2754" s="1"/>
    </row>
    <row r="2755" spans="8:8" x14ac:dyDescent="0.4">
      <c r="H2755" s="1"/>
    </row>
    <row r="2756" spans="8:8" x14ac:dyDescent="0.4">
      <c r="H2756" s="1"/>
    </row>
    <row r="2757" spans="8:8" x14ac:dyDescent="0.4">
      <c r="H2757" s="1"/>
    </row>
    <row r="2758" spans="8:8" x14ac:dyDescent="0.4">
      <c r="H2758" s="1"/>
    </row>
    <row r="2759" spans="8:8" x14ac:dyDescent="0.4">
      <c r="H2759" s="1"/>
    </row>
    <row r="2760" spans="8:8" x14ac:dyDescent="0.4">
      <c r="H2760" s="1"/>
    </row>
    <row r="2761" spans="8:8" x14ac:dyDescent="0.4">
      <c r="H2761" s="1"/>
    </row>
    <row r="2762" spans="8:8" x14ac:dyDescent="0.4">
      <c r="H2762" s="1"/>
    </row>
    <row r="2763" spans="8:8" x14ac:dyDescent="0.4">
      <c r="H2763" s="1"/>
    </row>
    <row r="2764" spans="8:8" x14ac:dyDescent="0.4">
      <c r="H2764" s="1"/>
    </row>
    <row r="2765" spans="8:8" x14ac:dyDescent="0.4">
      <c r="H2765" s="1"/>
    </row>
    <row r="2766" spans="8:8" x14ac:dyDescent="0.4">
      <c r="H2766" s="1"/>
    </row>
    <row r="2767" spans="8:8" x14ac:dyDescent="0.4">
      <c r="H2767" s="1"/>
    </row>
    <row r="2768" spans="8:8" x14ac:dyDescent="0.4">
      <c r="H2768" s="1"/>
    </row>
    <row r="2769" spans="8:8" x14ac:dyDescent="0.4">
      <c r="H2769" s="1"/>
    </row>
    <row r="2770" spans="8:8" x14ac:dyDescent="0.4">
      <c r="H2770" s="1"/>
    </row>
    <row r="2771" spans="8:8" x14ac:dyDescent="0.4">
      <c r="H2771" s="1"/>
    </row>
    <row r="2772" spans="8:8" x14ac:dyDescent="0.4">
      <c r="H2772" s="1"/>
    </row>
    <row r="2773" spans="8:8" x14ac:dyDescent="0.4">
      <c r="H2773" s="1"/>
    </row>
    <row r="2774" spans="8:8" x14ac:dyDescent="0.4">
      <c r="H2774" s="1"/>
    </row>
    <row r="2775" spans="8:8" x14ac:dyDescent="0.4">
      <c r="H2775" s="1"/>
    </row>
    <row r="2776" spans="8:8" x14ac:dyDescent="0.4">
      <c r="H2776" s="1"/>
    </row>
    <row r="2777" spans="8:8" x14ac:dyDescent="0.4">
      <c r="H2777" s="1"/>
    </row>
    <row r="2778" spans="8:8" x14ac:dyDescent="0.4">
      <c r="H2778" s="1"/>
    </row>
    <row r="2779" spans="8:8" x14ac:dyDescent="0.4">
      <c r="H2779" s="1"/>
    </row>
    <row r="2780" spans="8:8" x14ac:dyDescent="0.4">
      <c r="H2780" s="1"/>
    </row>
    <row r="2781" spans="8:8" x14ac:dyDescent="0.4">
      <c r="H2781" s="1"/>
    </row>
    <row r="2782" spans="8:8" x14ac:dyDescent="0.4">
      <c r="H2782" s="1"/>
    </row>
    <row r="2783" spans="8:8" x14ac:dyDescent="0.4">
      <c r="H2783" s="1"/>
    </row>
    <row r="2784" spans="8:8" x14ac:dyDescent="0.4">
      <c r="H2784" s="1"/>
    </row>
    <row r="2785" spans="8:8" x14ac:dyDescent="0.4">
      <c r="H2785" s="1"/>
    </row>
    <row r="2786" spans="8:8" x14ac:dyDescent="0.4">
      <c r="H2786" s="1"/>
    </row>
    <row r="2787" spans="8:8" x14ac:dyDescent="0.4">
      <c r="H2787" s="1"/>
    </row>
    <row r="2788" spans="8:8" x14ac:dyDescent="0.4">
      <c r="H2788" s="1"/>
    </row>
    <row r="2789" spans="8:8" x14ac:dyDescent="0.4">
      <c r="H2789" s="1"/>
    </row>
    <row r="2790" spans="8:8" x14ac:dyDescent="0.4">
      <c r="H2790" s="1"/>
    </row>
    <row r="2791" spans="8:8" x14ac:dyDescent="0.4">
      <c r="H2791" s="1"/>
    </row>
    <row r="2792" spans="8:8" x14ac:dyDescent="0.4">
      <c r="H2792" s="1"/>
    </row>
    <row r="2793" spans="8:8" x14ac:dyDescent="0.4">
      <c r="H2793" s="1"/>
    </row>
    <row r="2794" spans="8:8" x14ac:dyDescent="0.4">
      <c r="H2794" s="1"/>
    </row>
    <row r="2795" spans="8:8" x14ac:dyDescent="0.4">
      <c r="H2795" s="1"/>
    </row>
    <row r="2796" spans="8:8" x14ac:dyDescent="0.4">
      <c r="H2796" s="1"/>
    </row>
    <row r="2797" spans="8:8" x14ac:dyDescent="0.4">
      <c r="H2797" s="1"/>
    </row>
    <row r="2798" spans="8:8" x14ac:dyDescent="0.4">
      <c r="H2798" s="1"/>
    </row>
    <row r="2799" spans="8:8" x14ac:dyDescent="0.4">
      <c r="H2799" s="1"/>
    </row>
    <row r="2800" spans="8:8" x14ac:dyDescent="0.4">
      <c r="H2800" s="1"/>
    </row>
    <row r="2801" spans="8:8" x14ac:dyDescent="0.4">
      <c r="H2801" s="1"/>
    </row>
    <row r="2802" spans="8:8" x14ac:dyDescent="0.4">
      <c r="H2802" s="1"/>
    </row>
    <row r="2803" spans="8:8" x14ac:dyDescent="0.4">
      <c r="H2803" s="1"/>
    </row>
    <row r="2804" spans="8:8" x14ac:dyDescent="0.4">
      <c r="H2804" s="1"/>
    </row>
    <row r="2805" spans="8:8" x14ac:dyDescent="0.4">
      <c r="H2805" s="1"/>
    </row>
    <row r="2806" spans="8:8" x14ac:dyDescent="0.4">
      <c r="H2806" s="1"/>
    </row>
    <row r="2807" spans="8:8" x14ac:dyDescent="0.4">
      <c r="H2807" s="1"/>
    </row>
    <row r="2808" spans="8:8" x14ac:dyDescent="0.4">
      <c r="H2808" s="1"/>
    </row>
    <row r="2809" spans="8:8" x14ac:dyDescent="0.4">
      <c r="H2809" s="1"/>
    </row>
    <row r="2810" spans="8:8" x14ac:dyDescent="0.4">
      <c r="H2810" s="1"/>
    </row>
    <row r="2811" spans="8:8" x14ac:dyDescent="0.4">
      <c r="H2811" s="1"/>
    </row>
    <row r="2812" spans="8:8" x14ac:dyDescent="0.4">
      <c r="H2812" s="1"/>
    </row>
    <row r="2813" spans="8:8" x14ac:dyDescent="0.4">
      <c r="H2813" s="1"/>
    </row>
    <row r="2814" spans="8:8" x14ac:dyDescent="0.4">
      <c r="H2814" s="1"/>
    </row>
    <row r="2815" spans="8:8" x14ac:dyDescent="0.4">
      <c r="H2815" s="1"/>
    </row>
    <row r="2816" spans="8:8" x14ac:dyDescent="0.4">
      <c r="H2816" s="1"/>
    </row>
    <row r="2817" spans="8:8" x14ac:dyDescent="0.4">
      <c r="H2817" s="1"/>
    </row>
    <row r="2818" spans="8:8" x14ac:dyDescent="0.4">
      <c r="H2818" s="1"/>
    </row>
    <row r="2819" spans="8:8" x14ac:dyDescent="0.4">
      <c r="H2819" s="1"/>
    </row>
    <row r="2820" spans="8:8" x14ac:dyDescent="0.4">
      <c r="H2820" s="1"/>
    </row>
    <row r="2821" spans="8:8" x14ac:dyDescent="0.4">
      <c r="H2821" s="1"/>
    </row>
    <row r="2822" spans="8:8" x14ac:dyDescent="0.4">
      <c r="H2822" s="1"/>
    </row>
    <row r="2823" spans="8:8" x14ac:dyDescent="0.4">
      <c r="H2823" s="1"/>
    </row>
    <row r="2824" spans="8:8" x14ac:dyDescent="0.4">
      <c r="H2824" s="1"/>
    </row>
    <row r="2825" spans="8:8" x14ac:dyDescent="0.4">
      <c r="H2825" s="1"/>
    </row>
    <row r="2826" spans="8:8" x14ac:dyDescent="0.4">
      <c r="H2826" s="1"/>
    </row>
    <row r="2827" spans="8:8" x14ac:dyDescent="0.4">
      <c r="H2827" s="1"/>
    </row>
    <row r="2828" spans="8:8" x14ac:dyDescent="0.4">
      <c r="H2828" s="1"/>
    </row>
    <row r="2829" spans="8:8" x14ac:dyDescent="0.4">
      <c r="H2829" s="1"/>
    </row>
    <row r="2830" spans="8:8" x14ac:dyDescent="0.4">
      <c r="H2830" s="1"/>
    </row>
    <row r="2831" spans="8:8" x14ac:dyDescent="0.4">
      <c r="H2831" s="1"/>
    </row>
    <row r="2832" spans="8:8" x14ac:dyDescent="0.4">
      <c r="H2832" s="1"/>
    </row>
    <row r="2833" spans="8:8" x14ac:dyDescent="0.4">
      <c r="H2833" s="1"/>
    </row>
    <row r="2834" spans="8:8" x14ac:dyDescent="0.4">
      <c r="H2834" s="1"/>
    </row>
    <row r="2835" spans="8:8" x14ac:dyDescent="0.4">
      <c r="H2835" s="1"/>
    </row>
    <row r="2836" spans="8:8" x14ac:dyDescent="0.4">
      <c r="H2836" s="1"/>
    </row>
    <row r="2837" spans="8:8" x14ac:dyDescent="0.4">
      <c r="H2837" s="1"/>
    </row>
    <row r="2838" spans="8:8" x14ac:dyDescent="0.4">
      <c r="H2838" s="1"/>
    </row>
    <row r="2839" spans="8:8" x14ac:dyDescent="0.4">
      <c r="H2839" s="1"/>
    </row>
    <row r="2840" spans="8:8" x14ac:dyDescent="0.4">
      <c r="H2840" s="1"/>
    </row>
    <row r="2841" spans="8:8" x14ac:dyDescent="0.4">
      <c r="H2841" s="1"/>
    </row>
    <row r="2842" spans="8:8" x14ac:dyDescent="0.4">
      <c r="H2842" s="1"/>
    </row>
    <row r="2843" spans="8:8" x14ac:dyDescent="0.4">
      <c r="H2843" s="1"/>
    </row>
    <row r="2844" spans="8:8" x14ac:dyDescent="0.4">
      <c r="H2844" s="1"/>
    </row>
    <row r="2845" spans="8:8" x14ac:dyDescent="0.4">
      <c r="H2845" s="1"/>
    </row>
    <row r="2846" spans="8:8" x14ac:dyDescent="0.4">
      <c r="H2846" s="1"/>
    </row>
    <row r="2847" spans="8:8" x14ac:dyDescent="0.4">
      <c r="H2847" s="1"/>
    </row>
    <row r="2848" spans="8:8" x14ac:dyDescent="0.4">
      <c r="H2848" s="1"/>
    </row>
    <row r="2849" spans="8:8" x14ac:dyDescent="0.4">
      <c r="H2849" s="1"/>
    </row>
    <row r="2850" spans="8:8" x14ac:dyDescent="0.4">
      <c r="H2850" s="1"/>
    </row>
    <row r="2851" spans="8:8" x14ac:dyDescent="0.4">
      <c r="H2851" s="1"/>
    </row>
    <row r="2852" spans="8:8" x14ac:dyDescent="0.4">
      <c r="H2852" s="1"/>
    </row>
    <row r="2853" spans="8:8" x14ac:dyDescent="0.4">
      <c r="H2853" s="1"/>
    </row>
    <row r="2854" spans="8:8" x14ac:dyDescent="0.4">
      <c r="H2854" s="1"/>
    </row>
    <row r="2855" spans="8:8" x14ac:dyDescent="0.4">
      <c r="H2855" s="1"/>
    </row>
    <row r="2856" spans="8:8" x14ac:dyDescent="0.4">
      <c r="H2856" s="1"/>
    </row>
    <row r="2857" spans="8:8" x14ac:dyDescent="0.4">
      <c r="H2857" s="1"/>
    </row>
    <row r="2858" spans="8:8" x14ac:dyDescent="0.4">
      <c r="H2858" s="1"/>
    </row>
    <row r="2859" spans="8:8" x14ac:dyDescent="0.4">
      <c r="H2859" s="1"/>
    </row>
    <row r="2860" spans="8:8" x14ac:dyDescent="0.4">
      <c r="H2860" s="1"/>
    </row>
    <row r="2861" spans="8:8" x14ac:dyDescent="0.4">
      <c r="H2861" s="1"/>
    </row>
    <row r="2862" spans="8:8" x14ac:dyDescent="0.4">
      <c r="H2862" s="1"/>
    </row>
    <row r="2863" spans="8:8" x14ac:dyDescent="0.4">
      <c r="H2863" s="1"/>
    </row>
    <row r="2864" spans="8:8" x14ac:dyDescent="0.4">
      <c r="H2864" s="1"/>
    </row>
    <row r="2865" spans="8:8" x14ac:dyDescent="0.4">
      <c r="H2865" s="1"/>
    </row>
    <row r="2866" spans="8:8" x14ac:dyDescent="0.4">
      <c r="H2866" s="1"/>
    </row>
    <row r="2867" spans="8:8" x14ac:dyDescent="0.4">
      <c r="H2867" s="1"/>
    </row>
    <row r="2868" spans="8:8" x14ac:dyDescent="0.4">
      <c r="H2868" s="1"/>
    </row>
    <row r="2869" spans="8:8" x14ac:dyDescent="0.4">
      <c r="H2869" s="1"/>
    </row>
    <row r="2870" spans="8:8" x14ac:dyDescent="0.4">
      <c r="H2870" s="1"/>
    </row>
    <row r="2871" spans="8:8" x14ac:dyDescent="0.4">
      <c r="H2871" s="1"/>
    </row>
    <row r="2872" spans="8:8" x14ac:dyDescent="0.4">
      <c r="H2872" s="1"/>
    </row>
    <row r="2873" spans="8:8" x14ac:dyDescent="0.4">
      <c r="H2873" s="1"/>
    </row>
    <row r="2874" spans="8:8" x14ac:dyDescent="0.4">
      <c r="H2874" s="1"/>
    </row>
    <row r="2875" spans="8:8" x14ac:dyDescent="0.4">
      <c r="H2875" s="1"/>
    </row>
    <row r="2876" spans="8:8" x14ac:dyDescent="0.4">
      <c r="H2876" s="1"/>
    </row>
    <row r="2877" spans="8:8" x14ac:dyDescent="0.4">
      <c r="H2877" s="1"/>
    </row>
    <row r="2878" spans="8:8" x14ac:dyDescent="0.4">
      <c r="H2878" s="1"/>
    </row>
    <row r="2879" spans="8:8" x14ac:dyDescent="0.4">
      <c r="H2879" s="1"/>
    </row>
    <row r="2880" spans="8:8" x14ac:dyDescent="0.4">
      <c r="H2880" s="1"/>
    </row>
    <row r="2881" spans="8:8" x14ac:dyDescent="0.4">
      <c r="H2881" s="1"/>
    </row>
    <row r="2882" spans="8:8" x14ac:dyDescent="0.4">
      <c r="H2882" s="1"/>
    </row>
    <row r="2883" spans="8:8" x14ac:dyDescent="0.4">
      <c r="H2883" s="1"/>
    </row>
    <row r="2884" spans="8:8" x14ac:dyDescent="0.4">
      <c r="H2884" s="1"/>
    </row>
    <row r="2885" spans="8:8" x14ac:dyDescent="0.4">
      <c r="H2885" s="1"/>
    </row>
    <row r="2886" spans="8:8" x14ac:dyDescent="0.4">
      <c r="H2886" s="1"/>
    </row>
    <row r="2887" spans="8:8" x14ac:dyDescent="0.4">
      <c r="H2887" s="1"/>
    </row>
    <row r="2888" spans="8:8" x14ac:dyDescent="0.4">
      <c r="H2888" s="1"/>
    </row>
    <row r="2889" spans="8:8" x14ac:dyDescent="0.4">
      <c r="H2889" s="1"/>
    </row>
    <row r="2890" spans="8:8" x14ac:dyDescent="0.4">
      <c r="H2890" s="1"/>
    </row>
    <row r="2891" spans="8:8" x14ac:dyDescent="0.4">
      <c r="H2891" s="1"/>
    </row>
    <row r="2892" spans="8:8" x14ac:dyDescent="0.4">
      <c r="H2892" s="1"/>
    </row>
    <row r="2893" spans="8:8" x14ac:dyDescent="0.4">
      <c r="H2893" s="1"/>
    </row>
    <row r="2894" spans="8:8" x14ac:dyDescent="0.4">
      <c r="H2894" s="1"/>
    </row>
    <row r="2895" spans="8:8" x14ac:dyDescent="0.4">
      <c r="H2895" s="1"/>
    </row>
    <row r="2896" spans="8:8" x14ac:dyDescent="0.4">
      <c r="H2896" s="1"/>
    </row>
    <row r="2897" spans="8:8" x14ac:dyDescent="0.4">
      <c r="H2897" s="1"/>
    </row>
    <row r="2898" spans="8:8" x14ac:dyDescent="0.4">
      <c r="H2898" s="1"/>
    </row>
    <row r="2899" spans="8:8" x14ac:dyDescent="0.4">
      <c r="H2899" s="1"/>
    </row>
    <row r="2900" spans="8:8" x14ac:dyDescent="0.4">
      <c r="H2900" s="1"/>
    </row>
    <row r="2901" spans="8:8" x14ac:dyDescent="0.4">
      <c r="H2901" s="1"/>
    </row>
    <row r="2902" spans="8:8" x14ac:dyDescent="0.4">
      <c r="H2902" s="1"/>
    </row>
    <row r="2903" spans="8:8" x14ac:dyDescent="0.4">
      <c r="H2903" s="1"/>
    </row>
    <row r="2904" spans="8:8" x14ac:dyDescent="0.4">
      <c r="H2904" s="1"/>
    </row>
    <row r="2905" spans="8:8" x14ac:dyDescent="0.4">
      <c r="H2905" s="1"/>
    </row>
    <row r="2906" spans="8:8" x14ac:dyDescent="0.4">
      <c r="H2906" s="1"/>
    </row>
    <row r="2907" spans="8:8" x14ac:dyDescent="0.4">
      <c r="H2907" s="1"/>
    </row>
    <row r="2908" spans="8:8" x14ac:dyDescent="0.4">
      <c r="H2908" s="1"/>
    </row>
    <row r="2909" spans="8:8" x14ac:dyDescent="0.4">
      <c r="H2909" s="1"/>
    </row>
    <row r="2910" spans="8:8" x14ac:dyDescent="0.4">
      <c r="H2910" s="1"/>
    </row>
    <row r="2911" spans="8:8" x14ac:dyDescent="0.4">
      <c r="H2911" s="1"/>
    </row>
    <row r="2912" spans="8:8" x14ac:dyDescent="0.4">
      <c r="H2912" s="1"/>
    </row>
    <row r="2913" spans="8:8" x14ac:dyDescent="0.4">
      <c r="H2913" s="1"/>
    </row>
    <row r="2914" spans="8:8" x14ac:dyDescent="0.4">
      <c r="H2914" s="1"/>
    </row>
    <row r="2915" spans="8:8" x14ac:dyDescent="0.4">
      <c r="H2915" s="1"/>
    </row>
    <row r="2916" spans="8:8" x14ac:dyDescent="0.4">
      <c r="H2916" s="1"/>
    </row>
    <row r="2917" spans="8:8" x14ac:dyDescent="0.4">
      <c r="H2917" s="1"/>
    </row>
    <row r="2918" spans="8:8" x14ac:dyDescent="0.4">
      <c r="H2918" s="1"/>
    </row>
    <row r="2919" spans="8:8" x14ac:dyDescent="0.4">
      <c r="H2919" s="1"/>
    </row>
    <row r="2920" spans="8:8" x14ac:dyDescent="0.4">
      <c r="H2920" s="1"/>
    </row>
    <row r="2921" spans="8:8" x14ac:dyDescent="0.4">
      <c r="H2921" s="1"/>
    </row>
    <row r="2922" spans="8:8" x14ac:dyDescent="0.4">
      <c r="H2922" s="1"/>
    </row>
    <row r="2923" spans="8:8" x14ac:dyDescent="0.4">
      <c r="H2923" s="1"/>
    </row>
    <row r="2924" spans="8:8" x14ac:dyDescent="0.4">
      <c r="H2924" s="1"/>
    </row>
    <row r="2925" spans="8:8" x14ac:dyDescent="0.4">
      <c r="H2925" s="1"/>
    </row>
    <row r="2926" spans="8:8" x14ac:dyDescent="0.4">
      <c r="H2926" s="1"/>
    </row>
    <row r="2927" spans="8:8" x14ac:dyDescent="0.4">
      <c r="H2927" s="1"/>
    </row>
    <row r="2928" spans="8:8" x14ac:dyDescent="0.4">
      <c r="H2928" s="1"/>
    </row>
    <row r="2929" spans="8:8" x14ac:dyDescent="0.4">
      <c r="H2929" s="1"/>
    </row>
    <row r="2930" spans="8:8" x14ac:dyDescent="0.4">
      <c r="H2930" s="1"/>
    </row>
    <row r="2931" spans="8:8" x14ac:dyDescent="0.4">
      <c r="H2931" s="1"/>
    </row>
    <row r="2932" spans="8:8" x14ac:dyDescent="0.4">
      <c r="H2932" s="1"/>
    </row>
    <row r="2933" spans="8:8" x14ac:dyDescent="0.4">
      <c r="H2933" s="1"/>
    </row>
    <row r="2934" spans="8:8" x14ac:dyDescent="0.4">
      <c r="H2934" s="1"/>
    </row>
    <row r="2935" spans="8:8" x14ac:dyDescent="0.4">
      <c r="H2935" s="1"/>
    </row>
    <row r="2936" spans="8:8" x14ac:dyDescent="0.4">
      <c r="H2936" s="1"/>
    </row>
    <row r="2937" spans="8:8" x14ac:dyDescent="0.4">
      <c r="H2937" s="1"/>
    </row>
    <row r="2938" spans="8:8" x14ac:dyDescent="0.4">
      <c r="H2938" s="1"/>
    </row>
    <row r="2939" spans="8:8" x14ac:dyDescent="0.4">
      <c r="H2939" s="1"/>
    </row>
    <row r="2940" spans="8:8" x14ac:dyDescent="0.4">
      <c r="H2940" s="1"/>
    </row>
    <row r="2941" spans="8:8" x14ac:dyDescent="0.4">
      <c r="H2941" s="1"/>
    </row>
    <row r="2942" spans="8:8" x14ac:dyDescent="0.4">
      <c r="H2942" s="1"/>
    </row>
    <row r="2943" spans="8:8" x14ac:dyDescent="0.4">
      <c r="H2943" s="1"/>
    </row>
    <row r="2944" spans="8:8" x14ac:dyDescent="0.4">
      <c r="H2944" s="1"/>
    </row>
    <row r="2945" spans="8:8" x14ac:dyDescent="0.4">
      <c r="H2945" s="1"/>
    </row>
    <row r="2946" spans="8:8" x14ac:dyDescent="0.4">
      <c r="H2946" s="1"/>
    </row>
    <row r="2947" spans="8:8" x14ac:dyDescent="0.4">
      <c r="H2947" s="1"/>
    </row>
    <row r="2948" spans="8:8" x14ac:dyDescent="0.4">
      <c r="H2948" s="1"/>
    </row>
    <row r="2949" spans="8:8" x14ac:dyDescent="0.4">
      <c r="H2949" s="1"/>
    </row>
    <row r="2950" spans="8:8" x14ac:dyDescent="0.4">
      <c r="H2950" s="1"/>
    </row>
    <row r="2951" spans="8:8" x14ac:dyDescent="0.4">
      <c r="H2951" s="1"/>
    </row>
    <row r="2952" spans="8:8" x14ac:dyDescent="0.4">
      <c r="H2952" s="1"/>
    </row>
    <row r="2953" spans="8:8" x14ac:dyDescent="0.4">
      <c r="H2953" s="1"/>
    </row>
    <row r="2954" spans="8:8" x14ac:dyDescent="0.4">
      <c r="H2954" s="1"/>
    </row>
    <row r="2955" spans="8:8" x14ac:dyDescent="0.4">
      <c r="H2955" s="1"/>
    </row>
    <row r="2956" spans="8:8" x14ac:dyDescent="0.4">
      <c r="H2956" s="1"/>
    </row>
    <row r="2957" spans="8:8" x14ac:dyDescent="0.4">
      <c r="H2957" s="1"/>
    </row>
    <row r="2958" spans="8:8" x14ac:dyDescent="0.4">
      <c r="H2958" s="1"/>
    </row>
    <row r="2959" spans="8:8" x14ac:dyDescent="0.4">
      <c r="H2959" s="1"/>
    </row>
    <row r="2960" spans="8:8" x14ac:dyDescent="0.4">
      <c r="H2960" s="1"/>
    </row>
    <row r="2961" spans="8:8" x14ac:dyDescent="0.4">
      <c r="H2961" s="1"/>
    </row>
    <row r="2962" spans="8:8" x14ac:dyDescent="0.4">
      <c r="H2962" s="1"/>
    </row>
    <row r="2963" spans="8:8" x14ac:dyDescent="0.4">
      <c r="H2963" s="1"/>
    </row>
    <row r="2964" spans="8:8" x14ac:dyDescent="0.4">
      <c r="H2964" s="1"/>
    </row>
    <row r="2965" spans="8:8" x14ac:dyDescent="0.4">
      <c r="H2965" s="1"/>
    </row>
    <row r="2966" spans="8:8" x14ac:dyDescent="0.4">
      <c r="H2966" s="1"/>
    </row>
    <row r="2967" spans="8:8" x14ac:dyDescent="0.4">
      <c r="H2967" s="1"/>
    </row>
    <row r="2968" spans="8:8" x14ac:dyDescent="0.4">
      <c r="H2968" s="1"/>
    </row>
    <row r="2969" spans="8:8" x14ac:dyDescent="0.4">
      <c r="H2969" s="1"/>
    </row>
    <row r="2970" spans="8:8" x14ac:dyDescent="0.4">
      <c r="H2970" s="1"/>
    </row>
    <row r="2971" spans="8:8" x14ac:dyDescent="0.4">
      <c r="H2971" s="1"/>
    </row>
    <row r="2972" spans="8:8" x14ac:dyDescent="0.4">
      <c r="H2972" s="1"/>
    </row>
    <row r="2973" spans="8:8" x14ac:dyDescent="0.4">
      <c r="H2973" s="1"/>
    </row>
    <row r="2974" spans="8:8" x14ac:dyDescent="0.4">
      <c r="H2974" s="1"/>
    </row>
    <row r="2975" spans="8:8" x14ac:dyDescent="0.4">
      <c r="H2975" s="1"/>
    </row>
    <row r="2976" spans="8:8" x14ac:dyDescent="0.4">
      <c r="H2976" s="1"/>
    </row>
    <row r="2977" spans="8:8" x14ac:dyDescent="0.4">
      <c r="H2977" s="1"/>
    </row>
    <row r="2978" spans="8:8" x14ac:dyDescent="0.4">
      <c r="H2978" s="1"/>
    </row>
    <row r="2979" spans="8:8" x14ac:dyDescent="0.4">
      <c r="H2979" s="1"/>
    </row>
    <row r="2980" spans="8:8" x14ac:dyDescent="0.4">
      <c r="H2980" s="1"/>
    </row>
    <row r="2981" spans="8:8" x14ac:dyDescent="0.4">
      <c r="H2981" s="1"/>
    </row>
    <row r="2982" spans="8:8" x14ac:dyDescent="0.4">
      <c r="H2982" s="1"/>
    </row>
    <row r="2983" spans="8:8" x14ac:dyDescent="0.4">
      <c r="H2983" s="1"/>
    </row>
    <row r="2984" spans="8:8" x14ac:dyDescent="0.4">
      <c r="H2984" s="1"/>
    </row>
    <row r="2985" spans="8:8" x14ac:dyDescent="0.4">
      <c r="H2985" s="1"/>
    </row>
    <row r="2986" spans="8:8" x14ac:dyDescent="0.4">
      <c r="H2986" s="1"/>
    </row>
    <row r="2987" spans="8:8" x14ac:dyDescent="0.4">
      <c r="H2987" s="1"/>
    </row>
    <row r="2988" spans="8:8" x14ac:dyDescent="0.4">
      <c r="H2988" s="1"/>
    </row>
    <row r="2989" spans="8:8" x14ac:dyDescent="0.4">
      <c r="H2989" s="1"/>
    </row>
    <row r="2990" spans="8:8" x14ac:dyDescent="0.4">
      <c r="H2990" s="1"/>
    </row>
    <row r="2991" spans="8:8" x14ac:dyDescent="0.4">
      <c r="H2991" s="1"/>
    </row>
    <row r="2992" spans="8:8" x14ac:dyDescent="0.4">
      <c r="H2992" s="1"/>
    </row>
    <row r="2993" spans="8:8" x14ac:dyDescent="0.4">
      <c r="H2993" s="1"/>
    </row>
    <row r="2994" spans="8:8" x14ac:dyDescent="0.4">
      <c r="H2994" s="1"/>
    </row>
    <row r="2995" spans="8:8" x14ac:dyDescent="0.4">
      <c r="H2995" s="1"/>
    </row>
    <row r="2996" spans="8:8" x14ac:dyDescent="0.4">
      <c r="H2996" s="1"/>
    </row>
    <row r="2997" spans="8:8" x14ac:dyDescent="0.4">
      <c r="H2997" s="1"/>
    </row>
    <row r="2998" spans="8:8" x14ac:dyDescent="0.4">
      <c r="H2998" s="1"/>
    </row>
    <row r="2999" spans="8:8" x14ac:dyDescent="0.4">
      <c r="H2999" s="1"/>
    </row>
    <row r="3000" spans="8:8" x14ac:dyDescent="0.4">
      <c r="H3000" s="1"/>
    </row>
    <row r="3001" spans="8:8" x14ac:dyDescent="0.4">
      <c r="H3001" s="1"/>
    </row>
    <row r="3002" spans="8:8" x14ac:dyDescent="0.4">
      <c r="H3002" s="1"/>
    </row>
    <row r="3003" spans="8:8" x14ac:dyDescent="0.4">
      <c r="H3003" s="1"/>
    </row>
    <row r="3004" spans="8:8" x14ac:dyDescent="0.4">
      <c r="H3004" s="1"/>
    </row>
    <row r="3005" spans="8:8" x14ac:dyDescent="0.4">
      <c r="H3005" s="1"/>
    </row>
    <row r="3006" spans="8:8" x14ac:dyDescent="0.4">
      <c r="H3006" s="1"/>
    </row>
    <row r="3007" spans="8:8" x14ac:dyDescent="0.4">
      <c r="H3007" s="1"/>
    </row>
    <row r="3008" spans="8:8" x14ac:dyDescent="0.4">
      <c r="H3008" s="1"/>
    </row>
    <row r="3009" spans="8:8" x14ac:dyDescent="0.4">
      <c r="H3009" s="1"/>
    </row>
    <row r="3010" spans="8:8" x14ac:dyDescent="0.4">
      <c r="H3010" s="1"/>
    </row>
    <row r="3011" spans="8:8" x14ac:dyDescent="0.4">
      <c r="H3011" s="1"/>
    </row>
    <row r="3012" spans="8:8" x14ac:dyDescent="0.4">
      <c r="H3012" s="1"/>
    </row>
    <row r="3013" spans="8:8" x14ac:dyDescent="0.4">
      <c r="H3013" s="1"/>
    </row>
    <row r="3014" spans="8:8" x14ac:dyDescent="0.4">
      <c r="H3014" s="1"/>
    </row>
    <row r="3015" spans="8:8" x14ac:dyDescent="0.4">
      <c r="H3015" s="1"/>
    </row>
    <row r="3016" spans="8:8" x14ac:dyDescent="0.4">
      <c r="H3016" s="1"/>
    </row>
    <row r="3017" spans="8:8" x14ac:dyDescent="0.4">
      <c r="H3017" s="1"/>
    </row>
    <row r="3018" spans="8:8" x14ac:dyDescent="0.4">
      <c r="H3018" s="1"/>
    </row>
    <row r="3019" spans="8:8" x14ac:dyDescent="0.4">
      <c r="H3019" s="1"/>
    </row>
    <row r="3020" spans="8:8" x14ac:dyDescent="0.4">
      <c r="H3020" s="1"/>
    </row>
    <row r="3021" spans="8:8" x14ac:dyDescent="0.4">
      <c r="H3021" s="1"/>
    </row>
    <row r="3022" spans="8:8" x14ac:dyDescent="0.4">
      <c r="H3022" s="1"/>
    </row>
    <row r="3023" spans="8:8" x14ac:dyDescent="0.4">
      <c r="H3023" s="1"/>
    </row>
    <row r="3024" spans="8:8" x14ac:dyDescent="0.4">
      <c r="H3024" s="1"/>
    </row>
    <row r="3025" spans="8:8" x14ac:dyDescent="0.4">
      <c r="H3025" s="1"/>
    </row>
    <row r="3026" spans="8:8" x14ac:dyDescent="0.4">
      <c r="H3026" s="1"/>
    </row>
    <row r="3027" spans="8:8" x14ac:dyDescent="0.4">
      <c r="H3027" s="1"/>
    </row>
    <row r="3028" spans="8:8" x14ac:dyDescent="0.4">
      <c r="H3028" s="1"/>
    </row>
    <row r="3029" spans="8:8" x14ac:dyDescent="0.4">
      <c r="H3029" s="1"/>
    </row>
    <row r="3030" spans="8:8" x14ac:dyDescent="0.4">
      <c r="H3030" s="1"/>
    </row>
    <row r="3031" spans="8:8" x14ac:dyDescent="0.4">
      <c r="H3031" s="1"/>
    </row>
    <row r="3032" spans="8:8" x14ac:dyDescent="0.4">
      <c r="H3032" s="1"/>
    </row>
    <row r="3033" spans="8:8" x14ac:dyDescent="0.4">
      <c r="H3033" s="1"/>
    </row>
    <row r="3034" spans="8:8" x14ac:dyDescent="0.4">
      <c r="H3034" s="1"/>
    </row>
    <row r="3035" spans="8:8" x14ac:dyDescent="0.4">
      <c r="H3035" s="1"/>
    </row>
    <row r="3036" spans="8:8" x14ac:dyDescent="0.4">
      <c r="H3036" s="1"/>
    </row>
    <row r="3037" spans="8:8" x14ac:dyDescent="0.4">
      <c r="H3037" s="1"/>
    </row>
    <row r="3038" spans="8:8" x14ac:dyDescent="0.4">
      <c r="H3038" s="1"/>
    </row>
    <row r="3039" spans="8:8" x14ac:dyDescent="0.4">
      <c r="H3039" s="1"/>
    </row>
    <row r="3040" spans="8:8" x14ac:dyDescent="0.4">
      <c r="H3040" s="1"/>
    </row>
    <row r="3041" spans="8:8" x14ac:dyDescent="0.4">
      <c r="H3041" s="1"/>
    </row>
    <row r="3042" spans="8:8" x14ac:dyDescent="0.4">
      <c r="H3042" s="1"/>
    </row>
    <row r="3043" spans="8:8" x14ac:dyDescent="0.4">
      <c r="H3043" s="1"/>
    </row>
    <row r="3044" spans="8:8" x14ac:dyDescent="0.4">
      <c r="H3044" s="1"/>
    </row>
    <row r="3045" spans="8:8" x14ac:dyDescent="0.4">
      <c r="H3045" s="1"/>
    </row>
    <row r="3046" spans="8:8" x14ac:dyDescent="0.4">
      <c r="H3046" s="1"/>
    </row>
    <row r="3047" spans="8:8" x14ac:dyDescent="0.4">
      <c r="H3047" s="1"/>
    </row>
    <row r="3048" spans="8:8" x14ac:dyDescent="0.4">
      <c r="H3048" s="1"/>
    </row>
    <row r="3049" spans="8:8" x14ac:dyDescent="0.4">
      <c r="H3049" s="1"/>
    </row>
    <row r="3050" spans="8:8" x14ac:dyDescent="0.4">
      <c r="H3050" s="1"/>
    </row>
    <row r="3051" spans="8:8" x14ac:dyDescent="0.4">
      <c r="H3051" s="1"/>
    </row>
    <row r="3052" spans="8:8" x14ac:dyDescent="0.4">
      <c r="H3052" s="1"/>
    </row>
    <row r="3053" spans="8:8" x14ac:dyDescent="0.4">
      <c r="H3053" s="1"/>
    </row>
    <row r="3054" spans="8:8" x14ac:dyDescent="0.4">
      <c r="H3054" s="1"/>
    </row>
    <row r="3055" spans="8:8" x14ac:dyDescent="0.4">
      <c r="H3055" s="1"/>
    </row>
    <row r="3056" spans="8:8" x14ac:dyDescent="0.4">
      <c r="H3056" s="1"/>
    </row>
    <row r="3057" spans="8:8" x14ac:dyDescent="0.4">
      <c r="H3057" s="1"/>
    </row>
    <row r="3058" spans="8:8" x14ac:dyDescent="0.4">
      <c r="H3058" s="1"/>
    </row>
    <row r="3059" spans="8:8" x14ac:dyDescent="0.4">
      <c r="H3059" s="1"/>
    </row>
    <row r="3060" spans="8:8" x14ac:dyDescent="0.4">
      <c r="H3060" s="1"/>
    </row>
    <row r="3061" spans="8:8" x14ac:dyDescent="0.4">
      <c r="H3061" s="1"/>
    </row>
    <row r="3062" spans="8:8" x14ac:dyDescent="0.4">
      <c r="H3062" s="1"/>
    </row>
    <row r="3063" spans="8:8" x14ac:dyDescent="0.4">
      <c r="H3063" s="1"/>
    </row>
    <row r="3064" spans="8:8" x14ac:dyDescent="0.4">
      <c r="H3064" s="1"/>
    </row>
    <row r="3065" spans="8:8" x14ac:dyDescent="0.4">
      <c r="H3065" s="1"/>
    </row>
    <row r="3066" spans="8:8" x14ac:dyDescent="0.4">
      <c r="H3066" s="1"/>
    </row>
    <row r="3067" spans="8:8" x14ac:dyDescent="0.4">
      <c r="H3067" s="1"/>
    </row>
    <row r="3068" spans="8:8" x14ac:dyDescent="0.4">
      <c r="H3068" s="1"/>
    </row>
    <row r="3069" spans="8:8" x14ac:dyDescent="0.4">
      <c r="H3069" s="1"/>
    </row>
    <row r="3070" spans="8:8" x14ac:dyDescent="0.4">
      <c r="H3070" s="1"/>
    </row>
    <row r="3071" spans="8:8" x14ac:dyDescent="0.4">
      <c r="H3071" s="1"/>
    </row>
    <row r="3072" spans="8:8" x14ac:dyDescent="0.4">
      <c r="H3072" s="1"/>
    </row>
    <row r="3073" spans="8:8" x14ac:dyDescent="0.4">
      <c r="H3073" s="1"/>
    </row>
    <row r="3074" spans="8:8" x14ac:dyDescent="0.4">
      <c r="H3074" s="1"/>
    </row>
    <row r="3075" spans="8:8" x14ac:dyDescent="0.4">
      <c r="H3075" s="1"/>
    </row>
    <row r="3076" spans="8:8" x14ac:dyDescent="0.4">
      <c r="H3076" s="1"/>
    </row>
    <row r="3077" spans="8:8" x14ac:dyDescent="0.4">
      <c r="H3077" s="1"/>
    </row>
    <row r="3078" spans="8:8" x14ac:dyDescent="0.4">
      <c r="H3078" s="1"/>
    </row>
    <row r="3079" spans="8:8" x14ac:dyDescent="0.4">
      <c r="H3079" s="1"/>
    </row>
    <row r="3080" spans="8:8" x14ac:dyDescent="0.4">
      <c r="H3080" s="1"/>
    </row>
    <row r="3081" spans="8:8" x14ac:dyDescent="0.4">
      <c r="H3081" s="1"/>
    </row>
    <row r="3082" spans="8:8" x14ac:dyDescent="0.4">
      <c r="H3082" s="1"/>
    </row>
    <row r="3083" spans="8:8" x14ac:dyDescent="0.4">
      <c r="H3083" s="1"/>
    </row>
    <row r="3084" spans="8:8" x14ac:dyDescent="0.4">
      <c r="H3084" s="1"/>
    </row>
    <row r="3085" spans="8:8" x14ac:dyDescent="0.4">
      <c r="H3085" s="1"/>
    </row>
    <row r="3086" spans="8:8" x14ac:dyDescent="0.4">
      <c r="H3086" s="1"/>
    </row>
    <row r="3087" spans="8:8" x14ac:dyDescent="0.4">
      <c r="H3087" s="1"/>
    </row>
    <row r="3088" spans="8:8" x14ac:dyDescent="0.4">
      <c r="H3088" s="1"/>
    </row>
    <row r="3089" spans="8:8" x14ac:dyDescent="0.4">
      <c r="H3089" s="1"/>
    </row>
    <row r="3090" spans="8:8" x14ac:dyDescent="0.4">
      <c r="H3090" s="1"/>
    </row>
    <row r="3091" spans="8:8" x14ac:dyDescent="0.4">
      <c r="H3091" s="1"/>
    </row>
    <row r="3092" spans="8:8" x14ac:dyDescent="0.4">
      <c r="H3092" s="1"/>
    </row>
    <row r="3093" spans="8:8" x14ac:dyDescent="0.4">
      <c r="H3093" s="1"/>
    </row>
    <row r="3094" spans="8:8" x14ac:dyDescent="0.4">
      <c r="H3094" s="1"/>
    </row>
    <row r="3095" spans="8:8" x14ac:dyDescent="0.4">
      <c r="H3095" s="1"/>
    </row>
    <row r="3096" spans="8:8" x14ac:dyDescent="0.4">
      <c r="H3096" s="1"/>
    </row>
    <row r="3097" spans="8:8" x14ac:dyDescent="0.4">
      <c r="H3097" s="1"/>
    </row>
    <row r="3098" spans="8:8" x14ac:dyDescent="0.4">
      <c r="H3098" s="1"/>
    </row>
    <row r="3099" spans="8:8" x14ac:dyDescent="0.4">
      <c r="H3099" s="1"/>
    </row>
    <row r="3100" spans="8:8" x14ac:dyDescent="0.4">
      <c r="H3100" s="1"/>
    </row>
    <row r="3101" spans="8:8" x14ac:dyDescent="0.4">
      <c r="H3101" s="1"/>
    </row>
    <row r="3102" spans="8:8" x14ac:dyDescent="0.4">
      <c r="H3102" s="1"/>
    </row>
    <row r="3103" spans="8:8" x14ac:dyDescent="0.4">
      <c r="H3103" s="1"/>
    </row>
    <row r="3104" spans="8:8" x14ac:dyDescent="0.4">
      <c r="H3104" s="1"/>
    </row>
    <row r="3105" spans="8:8" x14ac:dyDescent="0.4">
      <c r="H3105" s="1"/>
    </row>
    <row r="3106" spans="8:8" x14ac:dyDescent="0.4">
      <c r="H3106" s="1"/>
    </row>
    <row r="3107" spans="8:8" x14ac:dyDescent="0.4">
      <c r="H3107" s="1"/>
    </row>
    <row r="3108" spans="8:8" x14ac:dyDescent="0.4">
      <c r="H3108" s="1"/>
    </row>
    <row r="3109" spans="8:8" x14ac:dyDescent="0.4">
      <c r="H3109" s="1"/>
    </row>
    <row r="3110" spans="8:8" x14ac:dyDescent="0.4">
      <c r="H3110" s="1"/>
    </row>
    <row r="3111" spans="8:8" x14ac:dyDescent="0.4">
      <c r="H3111" s="1"/>
    </row>
    <row r="3112" spans="8:8" x14ac:dyDescent="0.4">
      <c r="H3112" s="1"/>
    </row>
    <row r="3113" spans="8:8" x14ac:dyDescent="0.4">
      <c r="H3113" s="1"/>
    </row>
    <row r="3114" spans="8:8" x14ac:dyDescent="0.4">
      <c r="H3114" s="1"/>
    </row>
    <row r="3115" spans="8:8" x14ac:dyDescent="0.4">
      <c r="H3115" s="1"/>
    </row>
    <row r="3116" spans="8:8" x14ac:dyDescent="0.4">
      <c r="H3116" s="1"/>
    </row>
    <row r="3117" spans="8:8" x14ac:dyDescent="0.4">
      <c r="H3117" s="1"/>
    </row>
    <row r="3118" spans="8:8" x14ac:dyDescent="0.4">
      <c r="H3118" s="1"/>
    </row>
    <row r="3119" spans="8:8" x14ac:dyDescent="0.4">
      <c r="H3119" s="1"/>
    </row>
    <row r="3120" spans="8:8" x14ac:dyDescent="0.4">
      <c r="H3120" s="1"/>
    </row>
    <row r="3121" spans="8:8" x14ac:dyDescent="0.4">
      <c r="H3121" s="1"/>
    </row>
    <row r="3122" spans="8:8" x14ac:dyDescent="0.4">
      <c r="H3122" s="1"/>
    </row>
    <row r="3123" spans="8:8" x14ac:dyDescent="0.4">
      <c r="H3123" s="1"/>
    </row>
    <row r="3124" spans="8:8" x14ac:dyDescent="0.4">
      <c r="H3124" s="1"/>
    </row>
    <row r="3125" spans="8:8" x14ac:dyDescent="0.4">
      <c r="H3125" s="1"/>
    </row>
    <row r="3126" spans="8:8" x14ac:dyDescent="0.4">
      <c r="H3126" s="1"/>
    </row>
    <row r="3127" spans="8:8" x14ac:dyDescent="0.4">
      <c r="H3127" s="1"/>
    </row>
    <row r="3128" spans="8:8" x14ac:dyDescent="0.4">
      <c r="H3128" s="1"/>
    </row>
    <row r="3129" spans="8:8" x14ac:dyDescent="0.4">
      <c r="H3129" s="1"/>
    </row>
    <row r="3130" spans="8:8" x14ac:dyDescent="0.4">
      <c r="H3130" s="1"/>
    </row>
    <row r="3131" spans="8:8" x14ac:dyDescent="0.4">
      <c r="H3131" s="1"/>
    </row>
    <row r="3132" spans="8:8" x14ac:dyDescent="0.4">
      <c r="H3132" s="1"/>
    </row>
    <row r="3133" spans="8:8" x14ac:dyDescent="0.4">
      <c r="H3133" s="1"/>
    </row>
    <row r="3134" spans="8:8" x14ac:dyDescent="0.4">
      <c r="H3134" s="1"/>
    </row>
    <row r="3135" spans="8:8" x14ac:dyDescent="0.4">
      <c r="H3135" s="1"/>
    </row>
    <row r="3136" spans="8:8" x14ac:dyDescent="0.4">
      <c r="H3136" s="1"/>
    </row>
    <row r="3137" spans="8:8" x14ac:dyDescent="0.4">
      <c r="H3137" s="1"/>
    </row>
    <row r="3138" spans="8:8" x14ac:dyDescent="0.4">
      <c r="H3138" s="1"/>
    </row>
    <row r="3139" spans="8:8" x14ac:dyDescent="0.4">
      <c r="H3139" s="1"/>
    </row>
    <row r="3140" spans="8:8" x14ac:dyDescent="0.4">
      <c r="H3140" s="1"/>
    </row>
    <row r="3141" spans="8:8" x14ac:dyDescent="0.4">
      <c r="H3141" s="1"/>
    </row>
    <row r="3142" spans="8:8" x14ac:dyDescent="0.4">
      <c r="H3142" s="1"/>
    </row>
    <row r="3143" spans="8:8" x14ac:dyDescent="0.4">
      <c r="H3143" s="1"/>
    </row>
    <row r="3144" spans="8:8" x14ac:dyDescent="0.4">
      <c r="H3144" s="1"/>
    </row>
    <row r="3145" spans="8:8" x14ac:dyDescent="0.4">
      <c r="H3145" s="1"/>
    </row>
    <row r="3146" spans="8:8" x14ac:dyDescent="0.4">
      <c r="H3146" s="1"/>
    </row>
    <row r="3147" spans="8:8" x14ac:dyDescent="0.4">
      <c r="H3147" s="1"/>
    </row>
    <row r="3148" spans="8:8" x14ac:dyDescent="0.4">
      <c r="H3148" s="1"/>
    </row>
    <row r="3149" spans="8:8" x14ac:dyDescent="0.4">
      <c r="H3149" s="1"/>
    </row>
    <row r="3150" spans="8:8" x14ac:dyDescent="0.4">
      <c r="H3150" s="1"/>
    </row>
    <row r="3151" spans="8:8" x14ac:dyDescent="0.4">
      <c r="H3151" s="1"/>
    </row>
    <row r="3152" spans="8:8" x14ac:dyDescent="0.4">
      <c r="H3152" s="1"/>
    </row>
    <row r="3153" spans="8:8" x14ac:dyDescent="0.4">
      <c r="H3153" s="1"/>
    </row>
    <row r="3154" spans="8:8" x14ac:dyDescent="0.4">
      <c r="H3154" s="1"/>
    </row>
    <row r="3155" spans="8:8" x14ac:dyDescent="0.4">
      <c r="H3155" s="1"/>
    </row>
    <row r="3156" spans="8:8" x14ac:dyDescent="0.4">
      <c r="H3156" s="1"/>
    </row>
    <row r="3157" spans="8:8" x14ac:dyDescent="0.4">
      <c r="H3157" s="1"/>
    </row>
    <row r="3158" spans="8:8" x14ac:dyDescent="0.4">
      <c r="H3158" s="1"/>
    </row>
    <row r="3159" spans="8:8" x14ac:dyDescent="0.4">
      <c r="H3159" s="1"/>
    </row>
    <row r="3160" spans="8:8" x14ac:dyDescent="0.4">
      <c r="H3160" s="1"/>
    </row>
    <row r="3161" spans="8:8" x14ac:dyDescent="0.4">
      <c r="H3161" s="1"/>
    </row>
    <row r="3162" spans="8:8" x14ac:dyDescent="0.4">
      <c r="H3162" s="1"/>
    </row>
    <row r="3163" spans="8:8" x14ac:dyDescent="0.4">
      <c r="H3163" s="1"/>
    </row>
    <row r="3164" spans="8:8" x14ac:dyDescent="0.4">
      <c r="H3164" s="1"/>
    </row>
    <row r="3165" spans="8:8" x14ac:dyDescent="0.4">
      <c r="H3165" s="1"/>
    </row>
    <row r="3166" spans="8:8" x14ac:dyDescent="0.4">
      <c r="H3166" s="1"/>
    </row>
    <row r="3167" spans="8:8" x14ac:dyDescent="0.4">
      <c r="H3167" s="1"/>
    </row>
    <row r="3168" spans="8:8" x14ac:dyDescent="0.4">
      <c r="H3168" s="1"/>
    </row>
    <row r="3169" spans="8:8" x14ac:dyDescent="0.4">
      <c r="H3169" s="1"/>
    </row>
    <row r="3170" spans="8:8" x14ac:dyDescent="0.4">
      <c r="H3170" s="1"/>
    </row>
    <row r="3171" spans="8:8" x14ac:dyDescent="0.4">
      <c r="H3171" s="1"/>
    </row>
    <row r="3172" spans="8:8" x14ac:dyDescent="0.4">
      <c r="H3172" s="1"/>
    </row>
    <row r="3173" spans="8:8" x14ac:dyDescent="0.4">
      <c r="H3173" s="1"/>
    </row>
    <row r="3174" spans="8:8" x14ac:dyDescent="0.4">
      <c r="H3174" s="1"/>
    </row>
    <row r="3175" spans="8:8" x14ac:dyDescent="0.4">
      <c r="H3175" s="1"/>
    </row>
    <row r="3176" spans="8:8" x14ac:dyDescent="0.4">
      <c r="H3176" s="1"/>
    </row>
    <row r="3177" spans="8:8" x14ac:dyDescent="0.4">
      <c r="H3177" s="1"/>
    </row>
    <row r="3178" spans="8:8" x14ac:dyDescent="0.4">
      <c r="H3178" s="1"/>
    </row>
    <row r="3179" spans="8:8" x14ac:dyDescent="0.4">
      <c r="H3179" s="1"/>
    </row>
    <row r="3180" spans="8:8" x14ac:dyDescent="0.4">
      <c r="H3180" s="1"/>
    </row>
    <row r="3181" spans="8:8" x14ac:dyDescent="0.4">
      <c r="H3181" s="1"/>
    </row>
    <row r="3182" spans="8:8" x14ac:dyDescent="0.4">
      <c r="H3182" s="1"/>
    </row>
    <row r="3183" spans="8:8" x14ac:dyDescent="0.4">
      <c r="H3183" s="1"/>
    </row>
    <row r="3184" spans="8:8" x14ac:dyDescent="0.4">
      <c r="H3184" s="1"/>
    </row>
    <row r="3185" spans="8:8" x14ac:dyDescent="0.4">
      <c r="H3185" s="1"/>
    </row>
    <row r="3186" spans="8:8" x14ac:dyDescent="0.4">
      <c r="H3186" s="1"/>
    </row>
    <row r="3187" spans="8:8" x14ac:dyDescent="0.4">
      <c r="H3187" s="1"/>
    </row>
    <row r="3188" spans="8:8" x14ac:dyDescent="0.4">
      <c r="H3188" s="1"/>
    </row>
    <row r="3189" spans="8:8" x14ac:dyDescent="0.4">
      <c r="H3189" s="1"/>
    </row>
    <row r="3190" spans="8:8" x14ac:dyDescent="0.4">
      <c r="H3190" s="1"/>
    </row>
    <row r="3191" spans="8:8" x14ac:dyDescent="0.4">
      <c r="H3191" s="1"/>
    </row>
    <row r="3192" spans="8:8" x14ac:dyDescent="0.4">
      <c r="H3192" s="1"/>
    </row>
    <row r="3193" spans="8:8" x14ac:dyDescent="0.4">
      <c r="H3193" s="1"/>
    </row>
    <row r="3194" spans="8:8" x14ac:dyDescent="0.4">
      <c r="H3194" s="1"/>
    </row>
    <row r="3195" spans="8:8" x14ac:dyDescent="0.4">
      <c r="H3195" s="1"/>
    </row>
    <row r="3196" spans="8:8" x14ac:dyDescent="0.4">
      <c r="H3196" s="1"/>
    </row>
    <row r="3197" spans="8:8" x14ac:dyDescent="0.4">
      <c r="H3197" s="1"/>
    </row>
    <row r="3198" spans="8:8" x14ac:dyDescent="0.4">
      <c r="H3198" s="1"/>
    </row>
    <row r="3199" spans="8:8" x14ac:dyDescent="0.4">
      <c r="H3199" s="1"/>
    </row>
    <row r="3200" spans="8:8" x14ac:dyDescent="0.4">
      <c r="H3200" s="1"/>
    </row>
    <row r="3201" spans="8:8" x14ac:dyDescent="0.4">
      <c r="H3201" s="1"/>
    </row>
    <row r="3202" spans="8:8" x14ac:dyDescent="0.4">
      <c r="H3202" s="1"/>
    </row>
    <row r="3203" spans="8:8" x14ac:dyDescent="0.4">
      <c r="H3203" s="1"/>
    </row>
    <row r="3204" spans="8:8" x14ac:dyDescent="0.4">
      <c r="H3204" s="1"/>
    </row>
    <row r="3205" spans="8:8" x14ac:dyDescent="0.4">
      <c r="H3205" s="1"/>
    </row>
    <row r="3206" spans="8:8" x14ac:dyDescent="0.4">
      <c r="H3206" s="1"/>
    </row>
    <row r="3207" spans="8:8" x14ac:dyDescent="0.4">
      <c r="H3207" s="1"/>
    </row>
    <row r="3208" spans="8:8" x14ac:dyDescent="0.4">
      <c r="H3208" s="1"/>
    </row>
    <row r="3209" spans="8:8" x14ac:dyDescent="0.4">
      <c r="H3209" s="1"/>
    </row>
    <row r="3210" spans="8:8" x14ac:dyDescent="0.4">
      <c r="H3210" s="1"/>
    </row>
    <row r="3211" spans="8:8" x14ac:dyDescent="0.4">
      <c r="H3211" s="1"/>
    </row>
    <row r="3212" spans="8:8" x14ac:dyDescent="0.4">
      <c r="H3212" s="1"/>
    </row>
    <row r="3213" spans="8:8" x14ac:dyDescent="0.4">
      <c r="H3213" s="1"/>
    </row>
    <row r="3214" spans="8:8" x14ac:dyDescent="0.4">
      <c r="H3214" s="1"/>
    </row>
    <row r="3215" spans="8:8" x14ac:dyDescent="0.4">
      <c r="H3215" s="1"/>
    </row>
    <row r="3216" spans="8:8" x14ac:dyDescent="0.4">
      <c r="H3216" s="1"/>
    </row>
    <row r="3217" spans="8:8" x14ac:dyDescent="0.4">
      <c r="H3217" s="1"/>
    </row>
    <row r="3218" spans="8:8" x14ac:dyDescent="0.4">
      <c r="H3218" s="1"/>
    </row>
    <row r="3219" spans="8:8" x14ac:dyDescent="0.4">
      <c r="H3219" s="1"/>
    </row>
    <row r="3220" spans="8:8" x14ac:dyDescent="0.4">
      <c r="H3220" s="1"/>
    </row>
    <row r="3221" spans="8:8" x14ac:dyDescent="0.4">
      <c r="H3221" s="1"/>
    </row>
    <row r="3222" spans="8:8" x14ac:dyDescent="0.4">
      <c r="H3222" s="1"/>
    </row>
    <row r="3223" spans="8:8" x14ac:dyDescent="0.4">
      <c r="H3223" s="1"/>
    </row>
    <row r="3224" spans="8:8" x14ac:dyDescent="0.4">
      <c r="H3224" s="1"/>
    </row>
    <row r="3225" spans="8:8" x14ac:dyDescent="0.4">
      <c r="H3225" s="1"/>
    </row>
    <row r="3226" spans="8:8" x14ac:dyDescent="0.4">
      <c r="H3226" s="1"/>
    </row>
    <row r="3227" spans="8:8" x14ac:dyDescent="0.4">
      <c r="H3227" s="1"/>
    </row>
    <row r="3228" spans="8:8" x14ac:dyDescent="0.4">
      <c r="H3228" s="1"/>
    </row>
    <row r="3229" spans="8:8" x14ac:dyDescent="0.4">
      <c r="H3229" s="1"/>
    </row>
    <row r="3230" spans="8:8" x14ac:dyDescent="0.4">
      <c r="H3230" s="1"/>
    </row>
    <row r="3231" spans="8:8" x14ac:dyDescent="0.4">
      <c r="H3231" s="1"/>
    </row>
    <row r="3232" spans="8:8" x14ac:dyDescent="0.4">
      <c r="H3232" s="1"/>
    </row>
    <row r="3233" spans="8:8" x14ac:dyDescent="0.4">
      <c r="H3233" s="1"/>
    </row>
    <row r="3234" spans="8:8" x14ac:dyDescent="0.4">
      <c r="H3234" s="1"/>
    </row>
    <row r="3235" spans="8:8" x14ac:dyDescent="0.4">
      <c r="H3235" s="1"/>
    </row>
    <row r="3236" spans="8:8" x14ac:dyDescent="0.4">
      <c r="H3236" s="1"/>
    </row>
    <row r="3237" spans="8:8" x14ac:dyDescent="0.4">
      <c r="H3237" s="1"/>
    </row>
    <row r="3238" spans="8:8" x14ac:dyDescent="0.4">
      <c r="H3238" s="1"/>
    </row>
    <row r="3239" spans="8:8" x14ac:dyDescent="0.4">
      <c r="H3239" s="1"/>
    </row>
    <row r="3240" spans="8:8" x14ac:dyDescent="0.4">
      <c r="H3240" s="1"/>
    </row>
    <row r="3241" spans="8:8" x14ac:dyDescent="0.4">
      <c r="H3241" s="1"/>
    </row>
    <row r="3242" spans="8:8" x14ac:dyDescent="0.4">
      <c r="H3242" s="1"/>
    </row>
    <row r="3243" spans="8:8" x14ac:dyDescent="0.4">
      <c r="H3243" s="1"/>
    </row>
    <row r="3244" spans="8:8" x14ac:dyDescent="0.4">
      <c r="H3244" s="1"/>
    </row>
    <row r="3245" spans="8:8" x14ac:dyDescent="0.4">
      <c r="H3245" s="1"/>
    </row>
    <row r="3246" spans="8:8" x14ac:dyDescent="0.4">
      <c r="H3246" s="1"/>
    </row>
    <row r="3247" spans="8:8" x14ac:dyDescent="0.4">
      <c r="H3247" s="1"/>
    </row>
    <row r="3248" spans="8:8" x14ac:dyDescent="0.4">
      <c r="H3248" s="1"/>
    </row>
    <row r="3249" spans="8:8" x14ac:dyDescent="0.4">
      <c r="H3249" s="1"/>
    </row>
    <row r="3250" spans="8:8" x14ac:dyDescent="0.4">
      <c r="H3250" s="1"/>
    </row>
    <row r="3251" spans="8:8" x14ac:dyDescent="0.4">
      <c r="H3251" s="1"/>
    </row>
    <row r="3252" spans="8:8" x14ac:dyDescent="0.4">
      <c r="H3252" s="1"/>
    </row>
    <row r="3253" spans="8:8" x14ac:dyDescent="0.4">
      <c r="H3253" s="1"/>
    </row>
    <row r="3254" spans="8:8" x14ac:dyDescent="0.4">
      <c r="H3254" s="1"/>
    </row>
    <row r="3255" spans="8:8" x14ac:dyDescent="0.4">
      <c r="H3255" s="1"/>
    </row>
    <row r="3256" spans="8:8" x14ac:dyDescent="0.4">
      <c r="H3256" s="1"/>
    </row>
    <row r="3257" spans="8:8" x14ac:dyDescent="0.4">
      <c r="H3257" s="1"/>
    </row>
    <row r="3258" spans="8:8" x14ac:dyDescent="0.4">
      <c r="H3258" s="1"/>
    </row>
    <row r="3259" spans="8:8" x14ac:dyDescent="0.4">
      <c r="H3259" s="1"/>
    </row>
    <row r="3260" spans="8:8" x14ac:dyDescent="0.4">
      <c r="H3260" s="1"/>
    </row>
    <row r="3261" spans="8:8" x14ac:dyDescent="0.4">
      <c r="H3261" s="1"/>
    </row>
    <row r="3262" spans="8:8" x14ac:dyDescent="0.4">
      <c r="H3262" s="1"/>
    </row>
    <row r="3263" spans="8:8" x14ac:dyDescent="0.4">
      <c r="H3263" s="1"/>
    </row>
    <row r="3264" spans="8:8" x14ac:dyDescent="0.4">
      <c r="H3264" s="1"/>
    </row>
    <row r="3265" spans="8:8" x14ac:dyDescent="0.4">
      <c r="H3265" s="1"/>
    </row>
    <row r="3266" spans="8:8" x14ac:dyDescent="0.4">
      <c r="H3266" s="1"/>
    </row>
    <row r="3267" spans="8:8" x14ac:dyDescent="0.4">
      <c r="H3267" s="1"/>
    </row>
    <row r="3268" spans="8:8" x14ac:dyDescent="0.4">
      <c r="H3268" s="1"/>
    </row>
    <row r="3269" spans="8:8" x14ac:dyDescent="0.4">
      <c r="H3269" s="1"/>
    </row>
    <row r="3270" spans="8:8" x14ac:dyDescent="0.4">
      <c r="H3270" s="1"/>
    </row>
    <row r="3271" spans="8:8" x14ac:dyDescent="0.4">
      <c r="H3271" s="1"/>
    </row>
    <row r="3272" spans="8:8" x14ac:dyDescent="0.4">
      <c r="H3272" s="1"/>
    </row>
    <row r="3273" spans="8:8" x14ac:dyDescent="0.4">
      <c r="H3273" s="1"/>
    </row>
    <row r="3274" spans="8:8" x14ac:dyDescent="0.4">
      <c r="H3274" s="1"/>
    </row>
    <row r="3275" spans="8:8" x14ac:dyDescent="0.4">
      <c r="H3275" s="1"/>
    </row>
    <row r="3276" spans="8:8" x14ac:dyDescent="0.4">
      <c r="H3276" s="1"/>
    </row>
    <row r="3277" spans="8:8" x14ac:dyDescent="0.4">
      <c r="H3277" s="1"/>
    </row>
    <row r="3278" spans="8:8" x14ac:dyDescent="0.4">
      <c r="H3278" s="1"/>
    </row>
    <row r="3279" spans="8:8" x14ac:dyDescent="0.4">
      <c r="H3279" s="1"/>
    </row>
    <row r="3280" spans="8:8" x14ac:dyDescent="0.4">
      <c r="H3280" s="1"/>
    </row>
    <row r="3281" spans="8:8" x14ac:dyDescent="0.4">
      <c r="H3281" s="1"/>
    </row>
    <row r="3282" spans="8:8" x14ac:dyDescent="0.4">
      <c r="H3282" s="1"/>
    </row>
    <row r="3283" spans="8:8" x14ac:dyDescent="0.4">
      <c r="H3283" s="1"/>
    </row>
    <row r="3284" spans="8:8" x14ac:dyDescent="0.4">
      <c r="H3284" s="1"/>
    </row>
    <row r="3285" spans="8:8" x14ac:dyDescent="0.4">
      <c r="H3285" s="1"/>
    </row>
    <row r="3286" spans="8:8" x14ac:dyDescent="0.4">
      <c r="H3286" s="1"/>
    </row>
    <row r="3287" spans="8:8" x14ac:dyDescent="0.4">
      <c r="H3287" s="1"/>
    </row>
    <row r="3288" spans="8:8" x14ac:dyDescent="0.4">
      <c r="H3288" s="1"/>
    </row>
    <row r="3289" spans="8:8" x14ac:dyDescent="0.4">
      <c r="H3289" s="1"/>
    </row>
    <row r="3290" spans="8:8" x14ac:dyDescent="0.4">
      <c r="H3290" s="1"/>
    </row>
    <row r="3291" spans="8:8" x14ac:dyDescent="0.4">
      <c r="H3291" s="1"/>
    </row>
    <row r="3292" spans="8:8" x14ac:dyDescent="0.4">
      <c r="H3292" s="1"/>
    </row>
    <row r="3293" spans="8:8" x14ac:dyDescent="0.4">
      <c r="H3293" s="1"/>
    </row>
    <row r="3294" spans="8:8" x14ac:dyDescent="0.4">
      <c r="H3294" s="1"/>
    </row>
    <row r="3295" spans="8:8" x14ac:dyDescent="0.4">
      <c r="H3295" s="1"/>
    </row>
    <row r="3296" spans="8:8" x14ac:dyDescent="0.4">
      <c r="H3296" s="1"/>
    </row>
    <row r="3297" spans="8:8" x14ac:dyDescent="0.4">
      <c r="H3297" s="1"/>
    </row>
    <row r="3298" spans="8:8" x14ac:dyDescent="0.4">
      <c r="H3298" s="1"/>
    </row>
    <row r="3299" spans="8:8" x14ac:dyDescent="0.4">
      <c r="H3299" s="1"/>
    </row>
    <row r="3300" spans="8:8" x14ac:dyDescent="0.4">
      <c r="H3300" s="1"/>
    </row>
    <row r="3301" spans="8:8" x14ac:dyDescent="0.4">
      <c r="H3301" s="1"/>
    </row>
    <row r="3302" spans="8:8" x14ac:dyDescent="0.4">
      <c r="H3302" s="1"/>
    </row>
    <row r="3303" spans="8:8" x14ac:dyDescent="0.4">
      <c r="H3303" s="1"/>
    </row>
    <row r="3304" spans="8:8" x14ac:dyDescent="0.4">
      <c r="H3304" s="1"/>
    </row>
    <row r="3305" spans="8:8" x14ac:dyDescent="0.4">
      <c r="H3305" s="1"/>
    </row>
    <row r="3306" spans="8:8" x14ac:dyDescent="0.4">
      <c r="H3306" s="1"/>
    </row>
    <row r="3307" spans="8:8" x14ac:dyDescent="0.4">
      <c r="H3307" s="1"/>
    </row>
    <row r="3308" spans="8:8" x14ac:dyDescent="0.4">
      <c r="H3308" s="1"/>
    </row>
    <row r="3309" spans="8:8" x14ac:dyDescent="0.4">
      <c r="H3309" s="1"/>
    </row>
    <row r="3310" spans="8:8" x14ac:dyDescent="0.4">
      <c r="H3310" s="1"/>
    </row>
    <row r="3311" spans="8:8" x14ac:dyDescent="0.4">
      <c r="H3311" s="1"/>
    </row>
    <row r="3312" spans="8:8" x14ac:dyDescent="0.4">
      <c r="H3312" s="1"/>
    </row>
    <row r="3313" spans="8:8" x14ac:dyDescent="0.4">
      <c r="H3313" s="1"/>
    </row>
    <row r="3314" spans="8:8" x14ac:dyDescent="0.4">
      <c r="H3314" s="1"/>
    </row>
    <row r="3315" spans="8:8" x14ac:dyDescent="0.4">
      <c r="H3315" s="1"/>
    </row>
    <row r="3316" spans="8:8" x14ac:dyDescent="0.4">
      <c r="H3316" s="1"/>
    </row>
    <row r="3317" spans="8:8" x14ac:dyDescent="0.4">
      <c r="H3317" s="1"/>
    </row>
    <row r="3318" spans="8:8" x14ac:dyDescent="0.4">
      <c r="H3318" s="1"/>
    </row>
    <row r="3319" spans="8:8" x14ac:dyDescent="0.4">
      <c r="H3319" s="1"/>
    </row>
    <row r="3320" spans="8:8" x14ac:dyDescent="0.4">
      <c r="H3320" s="1"/>
    </row>
    <row r="3321" spans="8:8" x14ac:dyDescent="0.4">
      <c r="H3321" s="1"/>
    </row>
    <row r="3322" spans="8:8" x14ac:dyDescent="0.4">
      <c r="H3322" s="1"/>
    </row>
    <row r="3323" spans="8:8" x14ac:dyDescent="0.4">
      <c r="H3323" s="1"/>
    </row>
    <row r="3324" spans="8:8" x14ac:dyDescent="0.4">
      <c r="H3324" s="1"/>
    </row>
    <row r="3325" spans="8:8" x14ac:dyDescent="0.4">
      <c r="H3325" s="1"/>
    </row>
    <row r="3326" spans="8:8" x14ac:dyDescent="0.4">
      <c r="H3326" s="1"/>
    </row>
    <row r="3327" spans="8:8" x14ac:dyDescent="0.4">
      <c r="H3327" s="1"/>
    </row>
    <row r="3328" spans="8:8" x14ac:dyDescent="0.4">
      <c r="H3328" s="1"/>
    </row>
    <row r="3329" spans="8:8" x14ac:dyDescent="0.4">
      <c r="H3329" s="1"/>
    </row>
    <row r="3330" spans="8:8" x14ac:dyDescent="0.4">
      <c r="H3330" s="1"/>
    </row>
    <row r="3331" spans="8:8" x14ac:dyDescent="0.4">
      <c r="H3331" s="1"/>
    </row>
    <row r="3332" spans="8:8" x14ac:dyDescent="0.4">
      <c r="H3332" s="1"/>
    </row>
    <row r="3333" spans="8:8" x14ac:dyDescent="0.4">
      <c r="H3333" s="1"/>
    </row>
    <row r="3334" spans="8:8" x14ac:dyDescent="0.4">
      <c r="H3334" s="1"/>
    </row>
    <row r="3335" spans="8:8" x14ac:dyDescent="0.4">
      <c r="H3335" s="1"/>
    </row>
    <row r="3336" spans="8:8" x14ac:dyDescent="0.4">
      <c r="H3336" s="1"/>
    </row>
    <row r="3337" spans="8:8" x14ac:dyDescent="0.4">
      <c r="H3337" s="1"/>
    </row>
    <row r="3338" spans="8:8" x14ac:dyDescent="0.4">
      <c r="H3338" s="1"/>
    </row>
    <row r="3339" spans="8:8" x14ac:dyDescent="0.4">
      <c r="H3339" s="1"/>
    </row>
    <row r="3340" spans="8:8" x14ac:dyDescent="0.4">
      <c r="H3340" s="1"/>
    </row>
    <row r="3341" spans="8:8" x14ac:dyDescent="0.4">
      <c r="H3341" s="1"/>
    </row>
    <row r="3342" spans="8:8" x14ac:dyDescent="0.4">
      <c r="H3342" s="1"/>
    </row>
    <row r="3343" spans="8:8" x14ac:dyDescent="0.4">
      <c r="H3343" s="1"/>
    </row>
    <row r="3344" spans="8:8" x14ac:dyDescent="0.4">
      <c r="H3344" s="1"/>
    </row>
    <row r="3345" spans="8:8" x14ac:dyDescent="0.4">
      <c r="H3345" s="1"/>
    </row>
    <row r="3346" spans="8:8" x14ac:dyDescent="0.4">
      <c r="H3346" s="1"/>
    </row>
    <row r="3347" spans="8:8" x14ac:dyDescent="0.4">
      <c r="H3347" s="1"/>
    </row>
    <row r="3348" spans="8:8" x14ac:dyDescent="0.4">
      <c r="H3348" s="1"/>
    </row>
    <row r="3349" spans="8:8" x14ac:dyDescent="0.4">
      <c r="H3349" s="1"/>
    </row>
    <row r="3350" spans="8:8" x14ac:dyDescent="0.4">
      <c r="H3350" s="1"/>
    </row>
    <row r="3351" spans="8:8" x14ac:dyDescent="0.4">
      <c r="H3351" s="1"/>
    </row>
    <row r="3352" spans="8:8" x14ac:dyDescent="0.4">
      <c r="H3352" s="1"/>
    </row>
    <row r="3353" spans="8:8" x14ac:dyDescent="0.4">
      <c r="H3353" s="1"/>
    </row>
    <row r="3354" spans="8:8" x14ac:dyDescent="0.4">
      <c r="H3354" s="1"/>
    </row>
    <row r="3355" spans="8:8" x14ac:dyDescent="0.4">
      <c r="H3355" s="1"/>
    </row>
    <row r="3356" spans="8:8" x14ac:dyDescent="0.4">
      <c r="H3356" s="1"/>
    </row>
    <row r="3357" spans="8:8" x14ac:dyDescent="0.4">
      <c r="H3357" s="1"/>
    </row>
    <row r="3358" spans="8:8" x14ac:dyDescent="0.4">
      <c r="H3358" s="1"/>
    </row>
    <row r="3359" spans="8:8" x14ac:dyDescent="0.4">
      <c r="H3359" s="1"/>
    </row>
    <row r="3360" spans="8:8" x14ac:dyDescent="0.4">
      <c r="H3360" s="1"/>
    </row>
    <row r="3361" spans="8:8" x14ac:dyDescent="0.4">
      <c r="H3361" s="1"/>
    </row>
    <row r="3362" spans="8:8" x14ac:dyDescent="0.4">
      <c r="H3362" s="1"/>
    </row>
    <row r="3363" spans="8:8" x14ac:dyDescent="0.4">
      <c r="H3363" s="1"/>
    </row>
    <row r="3364" spans="8:8" x14ac:dyDescent="0.4">
      <c r="H3364" s="1"/>
    </row>
    <row r="3365" spans="8:8" x14ac:dyDescent="0.4">
      <c r="H3365" s="1"/>
    </row>
    <row r="3366" spans="8:8" x14ac:dyDescent="0.4">
      <c r="H3366" s="1"/>
    </row>
    <row r="3367" spans="8:8" x14ac:dyDescent="0.4">
      <c r="H3367" s="1"/>
    </row>
    <row r="3368" spans="8:8" x14ac:dyDescent="0.4">
      <c r="H3368" s="1"/>
    </row>
    <row r="3369" spans="8:8" x14ac:dyDescent="0.4">
      <c r="H3369" s="1"/>
    </row>
    <row r="3370" spans="8:8" x14ac:dyDescent="0.4">
      <c r="H3370" s="1"/>
    </row>
    <row r="3371" spans="8:8" x14ac:dyDescent="0.4">
      <c r="H3371" s="1"/>
    </row>
    <row r="3372" spans="8:8" x14ac:dyDescent="0.4">
      <c r="H3372" s="1"/>
    </row>
    <row r="3373" spans="8:8" x14ac:dyDescent="0.4">
      <c r="H3373" s="1"/>
    </row>
    <row r="3374" spans="8:8" x14ac:dyDescent="0.4">
      <c r="H3374" s="1"/>
    </row>
    <row r="3375" spans="8:8" x14ac:dyDescent="0.4">
      <c r="H3375" s="1"/>
    </row>
    <row r="3376" spans="8:8" x14ac:dyDescent="0.4">
      <c r="H3376" s="1"/>
    </row>
    <row r="3377" spans="8:8" x14ac:dyDescent="0.4">
      <c r="H3377" s="1"/>
    </row>
    <row r="3378" spans="8:8" x14ac:dyDescent="0.4">
      <c r="H3378" s="1"/>
    </row>
    <row r="3379" spans="8:8" x14ac:dyDescent="0.4">
      <c r="H3379" s="1"/>
    </row>
    <row r="3380" spans="8:8" x14ac:dyDescent="0.4">
      <c r="H3380" s="1"/>
    </row>
    <row r="3381" spans="8:8" x14ac:dyDescent="0.4">
      <c r="H3381" s="1"/>
    </row>
    <row r="3382" spans="8:8" x14ac:dyDescent="0.4">
      <c r="H3382" s="1"/>
    </row>
    <row r="3383" spans="8:8" x14ac:dyDescent="0.4">
      <c r="H3383" s="1"/>
    </row>
    <row r="3384" spans="8:8" x14ac:dyDescent="0.4">
      <c r="H3384" s="1"/>
    </row>
    <row r="3385" spans="8:8" x14ac:dyDescent="0.4">
      <c r="H3385" s="1"/>
    </row>
    <row r="3386" spans="8:8" x14ac:dyDescent="0.4">
      <c r="H3386" s="1"/>
    </row>
    <row r="3387" spans="8:8" x14ac:dyDescent="0.4">
      <c r="H3387" s="1"/>
    </row>
    <row r="3388" spans="8:8" x14ac:dyDescent="0.4">
      <c r="H3388" s="1"/>
    </row>
    <row r="3389" spans="8:8" x14ac:dyDescent="0.4">
      <c r="H3389" s="1"/>
    </row>
    <row r="3390" spans="8:8" x14ac:dyDescent="0.4">
      <c r="H3390" s="1"/>
    </row>
    <row r="3391" spans="8:8" x14ac:dyDescent="0.4">
      <c r="H3391" s="1"/>
    </row>
    <row r="3392" spans="8:8" x14ac:dyDescent="0.4">
      <c r="H3392" s="1"/>
    </row>
    <row r="3393" spans="8:8" x14ac:dyDescent="0.4">
      <c r="H3393" s="1"/>
    </row>
    <row r="3394" spans="8:8" x14ac:dyDescent="0.4">
      <c r="H3394" s="1"/>
    </row>
    <row r="3395" spans="8:8" x14ac:dyDescent="0.4">
      <c r="H3395" s="1"/>
    </row>
    <row r="3396" spans="8:8" x14ac:dyDescent="0.4">
      <c r="H3396" s="1"/>
    </row>
    <row r="3397" spans="8:8" x14ac:dyDescent="0.4">
      <c r="H3397" s="1"/>
    </row>
    <row r="3398" spans="8:8" x14ac:dyDescent="0.4">
      <c r="H3398" s="1"/>
    </row>
    <row r="3399" spans="8:8" x14ac:dyDescent="0.4">
      <c r="H3399" s="1"/>
    </row>
    <row r="3400" spans="8:8" x14ac:dyDescent="0.4">
      <c r="H3400" s="1"/>
    </row>
    <row r="3401" spans="8:8" x14ac:dyDescent="0.4">
      <c r="H3401" s="1"/>
    </row>
    <row r="3402" spans="8:8" x14ac:dyDescent="0.4">
      <c r="H3402" s="1"/>
    </row>
    <row r="3403" spans="8:8" x14ac:dyDescent="0.4">
      <c r="H3403" s="1"/>
    </row>
    <row r="3404" spans="8:8" x14ac:dyDescent="0.4">
      <c r="H3404" s="1"/>
    </row>
    <row r="3405" spans="8:8" x14ac:dyDescent="0.4">
      <c r="H3405" s="1"/>
    </row>
    <row r="3406" spans="8:8" x14ac:dyDescent="0.4">
      <c r="H3406" s="1"/>
    </row>
    <row r="3407" spans="8:8" x14ac:dyDescent="0.4">
      <c r="H3407" s="1"/>
    </row>
    <row r="3408" spans="8:8" x14ac:dyDescent="0.4">
      <c r="H3408" s="1"/>
    </row>
    <row r="3409" spans="8:8" x14ac:dyDescent="0.4">
      <c r="H3409" s="1"/>
    </row>
    <row r="3410" spans="8:8" x14ac:dyDescent="0.4">
      <c r="H3410" s="1"/>
    </row>
    <row r="3411" spans="8:8" x14ac:dyDescent="0.4">
      <c r="H3411" s="1"/>
    </row>
    <row r="3412" spans="8:8" x14ac:dyDescent="0.4">
      <c r="H3412" s="1"/>
    </row>
    <row r="3413" spans="8:8" x14ac:dyDescent="0.4">
      <c r="H3413" s="1"/>
    </row>
    <row r="3414" spans="8:8" x14ac:dyDescent="0.4">
      <c r="H3414" s="1"/>
    </row>
    <row r="3415" spans="8:8" x14ac:dyDescent="0.4">
      <c r="H3415" s="1"/>
    </row>
    <row r="3416" spans="8:8" x14ac:dyDescent="0.4">
      <c r="H3416" s="1"/>
    </row>
    <row r="3417" spans="8:8" x14ac:dyDescent="0.4">
      <c r="H3417" s="1"/>
    </row>
    <row r="3418" spans="8:8" x14ac:dyDescent="0.4">
      <c r="H3418" s="1"/>
    </row>
    <row r="3419" spans="8:8" x14ac:dyDescent="0.4">
      <c r="H3419" s="1"/>
    </row>
    <row r="3420" spans="8:8" x14ac:dyDescent="0.4">
      <c r="H3420" s="1"/>
    </row>
    <row r="3421" spans="8:8" x14ac:dyDescent="0.4">
      <c r="H3421" s="1"/>
    </row>
    <row r="3422" spans="8:8" x14ac:dyDescent="0.4">
      <c r="H3422" s="1"/>
    </row>
    <row r="3423" spans="8:8" x14ac:dyDescent="0.4">
      <c r="H3423" s="1"/>
    </row>
    <row r="3424" spans="8:8" x14ac:dyDescent="0.4">
      <c r="H3424" s="1"/>
    </row>
    <row r="3425" spans="8:8" x14ac:dyDescent="0.4">
      <c r="H3425" s="1"/>
    </row>
    <row r="3426" spans="8:8" x14ac:dyDescent="0.4">
      <c r="H3426" s="1"/>
    </row>
    <row r="3427" spans="8:8" x14ac:dyDescent="0.4">
      <c r="H3427" s="1"/>
    </row>
    <row r="3428" spans="8:8" x14ac:dyDescent="0.4">
      <c r="H3428" s="1"/>
    </row>
    <row r="3429" spans="8:8" x14ac:dyDescent="0.4">
      <c r="H3429" s="1"/>
    </row>
    <row r="3430" spans="8:8" x14ac:dyDescent="0.4">
      <c r="H3430" s="1"/>
    </row>
    <row r="3431" spans="8:8" x14ac:dyDescent="0.4">
      <c r="H3431" s="1"/>
    </row>
    <row r="3432" spans="8:8" x14ac:dyDescent="0.4">
      <c r="H3432" s="1"/>
    </row>
    <row r="3433" spans="8:8" x14ac:dyDescent="0.4">
      <c r="H3433" s="1"/>
    </row>
    <row r="3434" spans="8:8" x14ac:dyDescent="0.4">
      <c r="H3434" s="1"/>
    </row>
    <row r="3435" spans="8:8" x14ac:dyDescent="0.4">
      <c r="H3435" s="1"/>
    </row>
    <row r="3436" spans="8:8" x14ac:dyDescent="0.4">
      <c r="H3436" s="1"/>
    </row>
    <row r="3437" spans="8:8" x14ac:dyDescent="0.4">
      <c r="H3437" s="1"/>
    </row>
    <row r="3438" spans="8:8" x14ac:dyDescent="0.4">
      <c r="H3438" s="1"/>
    </row>
    <row r="3439" spans="8:8" x14ac:dyDescent="0.4">
      <c r="H3439" s="1"/>
    </row>
    <row r="3440" spans="8:8" x14ac:dyDescent="0.4">
      <c r="H3440" s="1"/>
    </row>
    <row r="3441" spans="8:8" x14ac:dyDescent="0.4">
      <c r="H3441" s="1"/>
    </row>
    <row r="3442" spans="8:8" x14ac:dyDescent="0.4">
      <c r="H3442" s="1"/>
    </row>
    <row r="3443" spans="8:8" x14ac:dyDescent="0.4">
      <c r="H3443" s="1"/>
    </row>
    <row r="3444" spans="8:8" x14ac:dyDescent="0.4">
      <c r="H3444" s="1"/>
    </row>
    <row r="3445" spans="8:8" x14ac:dyDescent="0.4">
      <c r="H3445" s="1"/>
    </row>
    <row r="3446" spans="8:8" x14ac:dyDescent="0.4">
      <c r="H3446" s="1"/>
    </row>
    <row r="3447" spans="8:8" x14ac:dyDescent="0.4">
      <c r="H3447" s="1"/>
    </row>
    <row r="3448" spans="8:8" x14ac:dyDescent="0.4">
      <c r="H3448" s="1"/>
    </row>
    <row r="3449" spans="8:8" x14ac:dyDescent="0.4">
      <c r="H3449" s="1"/>
    </row>
    <row r="3450" spans="8:8" x14ac:dyDescent="0.4">
      <c r="H3450" s="1"/>
    </row>
    <row r="3451" spans="8:8" x14ac:dyDescent="0.4">
      <c r="H3451" s="1"/>
    </row>
    <row r="3452" spans="8:8" x14ac:dyDescent="0.4">
      <c r="H3452" s="1"/>
    </row>
    <row r="3453" spans="8:8" x14ac:dyDescent="0.4">
      <c r="H3453" s="1"/>
    </row>
    <row r="3454" spans="8:8" x14ac:dyDescent="0.4">
      <c r="H3454" s="1"/>
    </row>
    <row r="3455" spans="8:8" x14ac:dyDescent="0.4">
      <c r="H3455" s="1"/>
    </row>
    <row r="3456" spans="8:8" x14ac:dyDescent="0.4">
      <c r="H3456" s="1"/>
    </row>
    <row r="3457" spans="8:8" x14ac:dyDescent="0.4">
      <c r="H3457" s="1"/>
    </row>
    <row r="3458" spans="8:8" x14ac:dyDescent="0.4">
      <c r="H3458" s="1"/>
    </row>
    <row r="3459" spans="8:8" x14ac:dyDescent="0.4">
      <c r="H3459" s="1"/>
    </row>
    <row r="3460" spans="8:8" x14ac:dyDescent="0.4">
      <c r="H3460" s="1"/>
    </row>
    <row r="3461" spans="8:8" x14ac:dyDescent="0.4">
      <c r="H3461" s="1"/>
    </row>
    <row r="3462" spans="8:8" x14ac:dyDescent="0.4">
      <c r="H3462" s="1"/>
    </row>
    <row r="3463" spans="8:8" x14ac:dyDescent="0.4">
      <c r="H3463" s="1"/>
    </row>
    <row r="3464" spans="8:8" x14ac:dyDescent="0.4">
      <c r="H3464" s="1"/>
    </row>
    <row r="3465" spans="8:8" x14ac:dyDescent="0.4">
      <c r="H3465" s="1"/>
    </row>
    <row r="3466" spans="8:8" x14ac:dyDescent="0.4">
      <c r="H3466" s="1"/>
    </row>
    <row r="3467" spans="8:8" x14ac:dyDescent="0.4">
      <c r="H3467" s="1"/>
    </row>
    <row r="3468" spans="8:8" x14ac:dyDescent="0.4">
      <c r="H3468" s="1"/>
    </row>
    <row r="3469" spans="8:8" x14ac:dyDescent="0.4">
      <c r="H3469" s="1"/>
    </row>
    <row r="3470" spans="8:8" x14ac:dyDescent="0.4">
      <c r="H3470" s="1"/>
    </row>
    <row r="3471" spans="8:8" x14ac:dyDescent="0.4">
      <c r="H3471" s="1"/>
    </row>
    <row r="3472" spans="8:8" x14ac:dyDescent="0.4">
      <c r="H3472" s="1"/>
    </row>
    <row r="3473" spans="8:8" x14ac:dyDescent="0.4">
      <c r="H3473" s="1"/>
    </row>
    <row r="3474" spans="8:8" x14ac:dyDescent="0.4">
      <c r="H3474" s="1"/>
    </row>
    <row r="3475" spans="8:8" x14ac:dyDescent="0.4">
      <c r="H3475" s="1"/>
    </row>
    <row r="3476" spans="8:8" x14ac:dyDescent="0.4">
      <c r="H3476" s="1"/>
    </row>
    <row r="3477" spans="8:8" x14ac:dyDescent="0.4">
      <c r="H3477" s="1"/>
    </row>
    <row r="3478" spans="8:8" x14ac:dyDescent="0.4">
      <c r="H3478" s="1"/>
    </row>
    <row r="3479" spans="8:8" x14ac:dyDescent="0.4">
      <c r="H3479" s="1"/>
    </row>
    <row r="3480" spans="8:8" x14ac:dyDescent="0.4">
      <c r="H3480" s="1"/>
    </row>
    <row r="3481" spans="8:8" x14ac:dyDescent="0.4">
      <c r="H3481" s="1"/>
    </row>
    <row r="3482" spans="8:8" x14ac:dyDescent="0.4">
      <c r="H3482" s="1"/>
    </row>
    <row r="3483" spans="8:8" x14ac:dyDescent="0.4">
      <c r="H3483" s="1"/>
    </row>
    <row r="3484" spans="8:8" x14ac:dyDescent="0.4">
      <c r="H3484" s="1"/>
    </row>
    <row r="3485" spans="8:8" x14ac:dyDescent="0.4">
      <c r="H3485" s="1"/>
    </row>
    <row r="3486" spans="8:8" x14ac:dyDescent="0.4">
      <c r="H3486" s="1"/>
    </row>
    <row r="3487" spans="8:8" x14ac:dyDescent="0.4">
      <c r="H3487" s="1"/>
    </row>
    <row r="3488" spans="8:8" x14ac:dyDescent="0.4">
      <c r="H3488" s="1"/>
    </row>
    <row r="3489" spans="8:8" x14ac:dyDescent="0.4">
      <c r="H3489" s="1"/>
    </row>
    <row r="3490" spans="8:8" x14ac:dyDescent="0.4">
      <c r="H3490" s="1"/>
    </row>
    <row r="3491" spans="8:8" x14ac:dyDescent="0.4">
      <c r="H3491" s="1"/>
    </row>
    <row r="3492" spans="8:8" x14ac:dyDescent="0.4">
      <c r="H3492" s="1"/>
    </row>
    <row r="3493" spans="8:8" x14ac:dyDescent="0.4">
      <c r="H3493" s="1"/>
    </row>
    <row r="3494" spans="8:8" x14ac:dyDescent="0.4">
      <c r="H3494" s="1"/>
    </row>
    <row r="3495" spans="8:8" x14ac:dyDescent="0.4">
      <c r="H3495" s="1"/>
    </row>
    <row r="3496" spans="8:8" x14ac:dyDescent="0.4">
      <c r="H3496" s="1"/>
    </row>
    <row r="3497" spans="8:8" x14ac:dyDescent="0.4">
      <c r="H3497" s="1"/>
    </row>
    <row r="3498" spans="8:8" x14ac:dyDescent="0.4">
      <c r="H3498" s="1"/>
    </row>
    <row r="3499" spans="8:8" x14ac:dyDescent="0.4">
      <c r="H3499" s="1"/>
    </row>
    <row r="3500" spans="8:8" x14ac:dyDescent="0.4">
      <c r="H3500" s="1"/>
    </row>
    <row r="3501" spans="8:8" x14ac:dyDescent="0.4">
      <c r="H3501" s="1"/>
    </row>
    <row r="3502" spans="8:8" x14ac:dyDescent="0.4">
      <c r="H3502" s="1"/>
    </row>
    <row r="3503" spans="8:8" x14ac:dyDescent="0.4">
      <c r="H3503" s="1"/>
    </row>
    <row r="3504" spans="8:8" x14ac:dyDescent="0.4">
      <c r="H3504" s="1"/>
    </row>
    <row r="3505" spans="8:8" x14ac:dyDescent="0.4">
      <c r="H3505" s="1"/>
    </row>
    <row r="3506" spans="8:8" x14ac:dyDescent="0.4">
      <c r="H3506" s="1"/>
    </row>
    <row r="3507" spans="8:8" x14ac:dyDescent="0.4">
      <c r="H3507" s="1"/>
    </row>
    <row r="3508" spans="8:8" x14ac:dyDescent="0.4">
      <c r="H3508" s="1"/>
    </row>
    <row r="3509" spans="8:8" x14ac:dyDescent="0.4">
      <c r="H3509" s="1"/>
    </row>
    <row r="3510" spans="8:8" x14ac:dyDescent="0.4">
      <c r="H3510" s="1"/>
    </row>
    <row r="3511" spans="8:8" x14ac:dyDescent="0.4">
      <c r="H3511" s="1"/>
    </row>
    <row r="3512" spans="8:8" x14ac:dyDescent="0.4">
      <c r="H3512" s="1"/>
    </row>
    <row r="3513" spans="8:8" x14ac:dyDescent="0.4">
      <c r="H3513" s="1"/>
    </row>
    <row r="3514" spans="8:8" x14ac:dyDescent="0.4">
      <c r="H3514" s="1"/>
    </row>
    <row r="3515" spans="8:8" x14ac:dyDescent="0.4">
      <c r="H3515" s="1"/>
    </row>
    <row r="3516" spans="8:8" x14ac:dyDescent="0.4">
      <c r="H3516" s="1"/>
    </row>
    <row r="3517" spans="8:8" x14ac:dyDescent="0.4">
      <c r="H3517" s="1"/>
    </row>
    <row r="3518" spans="8:8" x14ac:dyDescent="0.4">
      <c r="H3518" s="1"/>
    </row>
    <row r="3519" spans="8:8" x14ac:dyDescent="0.4">
      <c r="H3519" s="1"/>
    </row>
    <row r="3520" spans="8:8" x14ac:dyDescent="0.4">
      <c r="H3520" s="1"/>
    </row>
    <row r="3521" spans="8:8" x14ac:dyDescent="0.4">
      <c r="H3521" s="1"/>
    </row>
    <row r="3522" spans="8:8" x14ac:dyDescent="0.4">
      <c r="H3522" s="1"/>
    </row>
    <row r="3523" spans="8:8" x14ac:dyDescent="0.4">
      <c r="H3523" s="1"/>
    </row>
    <row r="3524" spans="8:8" x14ac:dyDescent="0.4">
      <c r="H3524" s="1"/>
    </row>
    <row r="3525" spans="8:8" x14ac:dyDescent="0.4">
      <c r="H3525" s="1"/>
    </row>
    <row r="3526" spans="8:8" x14ac:dyDescent="0.4">
      <c r="H3526" s="1"/>
    </row>
    <row r="3527" spans="8:8" x14ac:dyDescent="0.4">
      <c r="H3527" s="1"/>
    </row>
    <row r="3528" spans="8:8" x14ac:dyDescent="0.4">
      <c r="H3528" s="1"/>
    </row>
    <row r="3529" spans="8:8" x14ac:dyDescent="0.4">
      <c r="H3529" s="1"/>
    </row>
    <row r="3530" spans="8:8" x14ac:dyDescent="0.4">
      <c r="H3530" s="1"/>
    </row>
    <row r="3531" spans="8:8" x14ac:dyDescent="0.4">
      <c r="H3531" s="1"/>
    </row>
    <row r="3532" spans="8:8" x14ac:dyDescent="0.4">
      <c r="H3532" s="1"/>
    </row>
    <row r="3533" spans="8:8" x14ac:dyDescent="0.4">
      <c r="H3533" s="1"/>
    </row>
    <row r="3534" spans="8:8" x14ac:dyDescent="0.4">
      <c r="H3534" s="1"/>
    </row>
    <row r="3535" spans="8:8" x14ac:dyDescent="0.4">
      <c r="H3535" s="1"/>
    </row>
    <row r="3536" spans="8:8" x14ac:dyDescent="0.4">
      <c r="H3536" s="1"/>
    </row>
    <row r="3537" spans="8:8" x14ac:dyDescent="0.4">
      <c r="H3537" s="1"/>
    </row>
    <row r="3538" spans="8:8" x14ac:dyDescent="0.4">
      <c r="H3538" s="1"/>
    </row>
    <row r="3539" spans="8:8" x14ac:dyDescent="0.4">
      <c r="H3539" s="1"/>
    </row>
    <row r="3540" spans="8:8" x14ac:dyDescent="0.4">
      <c r="H3540" s="1"/>
    </row>
    <row r="3541" spans="8:8" x14ac:dyDescent="0.4">
      <c r="H3541" s="1"/>
    </row>
    <row r="3542" spans="8:8" x14ac:dyDescent="0.4">
      <c r="H3542" s="1"/>
    </row>
    <row r="3543" spans="8:8" x14ac:dyDescent="0.4">
      <c r="H3543" s="1"/>
    </row>
    <row r="3544" spans="8:8" x14ac:dyDescent="0.4">
      <c r="H3544" s="1"/>
    </row>
    <row r="3545" spans="8:8" x14ac:dyDescent="0.4">
      <c r="H3545" s="1"/>
    </row>
    <row r="3546" spans="8:8" x14ac:dyDescent="0.4">
      <c r="H3546" s="1"/>
    </row>
    <row r="3547" spans="8:8" x14ac:dyDescent="0.4">
      <c r="H3547" s="1"/>
    </row>
    <row r="3548" spans="8:8" x14ac:dyDescent="0.4">
      <c r="H3548" s="1"/>
    </row>
    <row r="3549" spans="8:8" x14ac:dyDescent="0.4">
      <c r="H3549" s="1"/>
    </row>
    <row r="3550" spans="8:8" x14ac:dyDescent="0.4">
      <c r="H3550" s="1"/>
    </row>
    <row r="3551" spans="8:8" x14ac:dyDescent="0.4">
      <c r="H3551" s="1"/>
    </row>
    <row r="3552" spans="8:8" x14ac:dyDescent="0.4">
      <c r="H3552" s="1"/>
    </row>
    <row r="3553" spans="8:8" x14ac:dyDescent="0.4">
      <c r="H3553" s="1"/>
    </row>
    <row r="3554" spans="8:8" x14ac:dyDescent="0.4">
      <c r="H3554" s="1"/>
    </row>
    <row r="3555" spans="8:8" x14ac:dyDescent="0.4">
      <c r="H3555" s="1"/>
    </row>
    <row r="3556" spans="8:8" x14ac:dyDescent="0.4">
      <c r="H3556" s="1"/>
    </row>
    <row r="3557" spans="8:8" x14ac:dyDescent="0.4">
      <c r="H3557" s="1"/>
    </row>
    <row r="3558" spans="8:8" x14ac:dyDescent="0.4">
      <c r="H3558" s="1"/>
    </row>
    <row r="3559" spans="8:8" x14ac:dyDescent="0.4">
      <c r="H3559" s="1"/>
    </row>
    <row r="3560" spans="8:8" x14ac:dyDescent="0.4">
      <c r="H3560" s="1"/>
    </row>
    <row r="3561" spans="8:8" x14ac:dyDescent="0.4">
      <c r="H3561" s="1"/>
    </row>
    <row r="3562" spans="8:8" x14ac:dyDescent="0.4">
      <c r="H3562" s="1"/>
    </row>
    <row r="3563" spans="8:8" x14ac:dyDescent="0.4">
      <c r="H3563" s="1"/>
    </row>
    <row r="3564" spans="8:8" x14ac:dyDescent="0.4">
      <c r="H3564" s="1"/>
    </row>
    <row r="3565" spans="8:8" x14ac:dyDescent="0.4">
      <c r="H3565" s="1"/>
    </row>
    <row r="3566" spans="8:8" x14ac:dyDescent="0.4">
      <c r="H3566" s="1"/>
    </row>
    <row r="3567" spans="8:8" x14ac:dyDescent="0.4">
      <c r="H3567" s="1"/>
    </row>
    <row r="3568" spans="8:8" x14ac:dyDescent="0.4">
      <c r="H3568" s="1"/>
    </row>
    <row r="3569" spans="8:8" x14ac:dyDescent="0.4">
      <c r="H3569" s="1"/>
    </row>
    <row r="3570" spans="8:8" x14ac:dyDescent="0.4">
      <c r="H3570" s="1"/>
    </row>
    <row r="3571" spans="8:8" x14ac:dyDescent="0.4">
      <c r="H3571" s="1"/>
    </row>
    <row r="3572" spans="8:8" x14ac:dyDescent="0.4">
      <c r="H3572" s="1"/>
    </row>
    <row r="3573" spans="8:8" x14ac:dyDescent="0.4">
      <c r="H3573" s="1"/>
    </row>
    <row r="3574" spans="8:8" x14ac:dyDescent="0.4">
      <c r="H3574" s="1"/>
    </row>
    <row r="3575" spans="8:8" x14ac:dyDescent="0.4">
      <c r="H3575" s="1"/>
    </row>
    <row r="3576" spans="8:8" x14ac:dyDescent="0.4">
      <c r="H3576" s="1"/>
    </row>
    <row r="3577" spans="8:8" x14ac:dyDescent="0.4">
      <c r="H3577" s="1"/>
    </row>
    <row r="3578" spans="8:8" x14ac:dyDescent="0.4">
      <c r="H3578" s="1"/>
    </row>
    <row r="3579" spans="8:8" x14ac:dyDescent="0.4">
      <c r="H3579" s="1"/>
    </row>
    <row r="3580" spans="8:8" x14ac:dyDescent="0.4">
      <c r="H3580" s="1"/>
    </row>
    <row r="3581" spans="8:8" x14ac:dyDescent="0.4">
      <c r="H3581" s="1"/>
    </row>
    <row r="3582" spans="8:8" x14ac:dyDescent="0.4">
      <c r="H3582" s="1"/>
    </row>
    <row r="3583" spans="8:8" x14ac:dyDescent="0.4">
      <c r="H3583" s="1"/>
    </row>
    <row r="3584" spans="8:8" x14ac:dyDescent="0.4">
      <c r="H3584" s="1"/>
    </row>
    <row r="3585" spans="8:8" x14ac:dyDescent="0.4">
      <c r="H3585" s="1"/>
    </row>
    <row r="3586" spans="8:8" x14ac:dyDescent="0.4">
      <c r="H3586" s="1"/>
    </row>
    <row r="3587" spans="8:8" x14ac:dyDescent="0.4">
      <c r="H3587" s="1"/>
    </row>
    <row r="3588" spans="8:8" x14ac:dyDescent="0.4">
      <c r="H3588" s="1"/>
    </row>
    <row r="3589" spans="8:8" x14ac:dyDescent="0.4">
      <c r="H3589" s="1"/>
    </row>
    <row r="3590" spans="8:8" x14ac:dyDescent="0.4">
      <c r="H3590" s="1"/>
    </row>
    <row r="3591" spans="8:8" x14ac:dyDescent="0.4">
      <c r="H3591" s="1"/>
    </row>
    <row r="3592" spans="8:8" x14ac:dyDescent="0.4">
      <c r="H3592" s="1"/>
    </row>
    <row r="3593" spans="8:8" x14ac:dyDescent="0.4">
      <c r="H3593" s="1"/>
    </row>
    <row r="3594" spans="8:8" x14ac:dyDescent="0.4">
      <c r="H3594" s="1"/>
    </row>
    <row r="3595" spans="8:8" x14ac:dyDescent="0.4">
      <c r="H3595" s="1"/>
    </row>
    <row r="3596" spans="8:8" x14ac:dyDescent="0.4">
      <c r="H3596" s="1"/>
    </row>
    <row r="3597" spans="8:8" x14ac:dyDescent="0.4">
      <c r="H3597" s="1"/>
    </row>
    <row r="3598" spans="8:8" x14ac:dyDescent="0.4">
      <c r="H3598" s="1"/>
    </row>
    <row r="3599" spans="8:8" x14ac:dyDescent="0.4">
      <c r="H3599" s="1"/>
    </row>
    <row r="3600" spans="8:8" x14ac:dyDescent="0.4">
      <c r="H3600" s="1"/>
    </row>
    <row r="3601" spans="8:8" x14ac:dyDescent="0.4">
      <c r="H3601" s="1"/>
    </row>
    <row r="3602" spans="8:8" x14ac:dyDescent="0.4">
      <c r="H3602" s="1"/>
    </row>
    <row r="3603" spans="8:8" x14ac:dyDescent="0.4">
      <c r="H3603" s="1"/>
    </row>
    <row r="3604" spans="8:8" x14ac:dyDescent="0.4">
      <c r="H3604" s="1"/>
    </row>
    <row r="3605" spans="8:8" x14ac:dyDescent="0.4">
      <c r="H3605" s="1"/>
    </row>
    <row r="3606" spans="8:8" x14ac:dyDescent="0.4">
      <c r="H3606" s="1"/>
    </row>
    <row r="3607" spans="8:8" x14ac:dyDescent="0.4">
      <c r="H3607" s="1"/>
    </row>
    <row r="3608" spans="8:8" x14ac:dyDescent="0.4">
      <c r="H3608" s="1"/>
    </row>
    <row r="3609" spans="8:8" x14ac:dyDescent="0.4">
      <c r="H3609" s="1"/>
    </row>
    <row r="3610" spans="8:8" x14ac:dyDescent="0.4">
      <c r="H3610" s="1"/>
    </row>
    <row r="3611" spans="8:8" x14ac:dyDescent="0.4">
      <c r="H3611" s="1"/>
    </row>
    <row r="3612" spans="8:8" x14ac:dyDescent="0.4">
      <c r="H3612" s="1"/>
    </row>
    <row r="3613" spans="8:8" x14ac:dyDescent="0.4">
      <c r="H3613" s="1"/>
    </row>
    <row r="3614" spans="8:8" x14ac:dyDescent="0.4">
      <c r="H3614" s="1"/>
    </row>
    <row r="3615" spans="8:8" x14ac:dyDescent="0.4">
      <c r="H3615" s="1"/>
    </row>
    <row r="3616" spans="8:8" x14ac:dyDescent="0.4">
      <c r="H3616" s="1"/>
    </row>
    <row r="3617" spans="8:8" x14ac:dyDescent="0.4">
      <c r="H3617" s="1"/>
    </row>
    <row r="3618" spans="8:8" x14ac:dyDescent="0.4">
      <c r="H3618" s="1"/>
    </row>
    <row r="3619" spans="8:8" x14ac:dyDescent="0.4">
      <c r="H3619" s="1"/>
    </row>
    <row r="3620" spans="8:8" x14ac:dyDescent="0.4">
      <c r="H3620" s="1"/>
    </row>
    <row r="3621" spans="8:8" x14ac:dyDescent="0.4">
      <c r="H3621" s="1"/>
    </row>
    <row r="3622" spans="8:8" x14ac:dyDescent="0.4">
      <c r="H3622" s="1"/>
    </row>
    <row r="3623" spans="8:8" x14ac:dyDescent="0.4">
      <c r="H3623" s="1"/>
    </row>
    <row r="3624" spans="8:8" x14ac:dyDescent="0.4">
      <c r="H3624" s="1"/>
    </row>
    <row r="3625" spans="8:8" x14ac:dyDescent="0.4">
      <c r="H3625" s="1"/>
    </row>
    <row r="3626" spans="8:8" x14ac:dyDescent="0.4">
      <c r="H3626" s="1"/>
    </row>
    <row r="3627" spans="8:8" x14ac:dyDescent="0.4">
      <c r="H3627" s="1"/>
    </row>
    <row r="3628" spans="8:8" x14ac:dyDescent="0.4">
      <c r="H3628" s="1"/>
    </row>
    <row r="3629" spans="8:8" x14ac:dyDescent="0.4">
      <c r="H3629" s="1"/>
    </row>
    <row r="3630" spans="8:8" x14ac:dyDescent="0.4">
      <c r="H3630" s="1"/>
    </row>
    <row r="3631" spans="8:8" x14ac:dyDescent="0.4">
      <c r="H3631" s="1"/>
    </row>
    <row r="3632" spans="8:8" x14ac:dyDescent="0.4">
      <c r="H3632" s="1"/>
    </row>
    <row r="3633" spans="8:8" x14ac:dyDescent="0.4">
      <c r="H3633" s="1"/>
    </row>
    <row r="3634" spans="8:8" x14ac:dyDescent="0.4">
      <c r="H3634" s="1"/>
    </row>
    <row r="3635" spans="8:8" x14ac:dyDescent="0.4">
      <c r="H3635" s="1"/>
    </row>
    <row r="3636" spans="8:8" x14ac:dyDescent="0.4">
      <c r="H3636" s="1"/>
    </row>
    <row r="3637" spans="8:8" x14ac:dyDescent="0.4">
      <c r="H3637" s="1"/>
    </row>
    <row r="3638" spans="8:8" x14ac:dyDescent="0.4">
      <c r="H3638" s="1"/>
    </row>
    <row r="3639" spans="8:8" x14ac:dyDescent="0.4">
      <c r="H3639" s="1"/>
    </row>
    <row r="3640" spans="8:8" x14ac:dyDescent="0.4">
      <c r="H3640" s="1"/>
    </row>
    <row r="3641" spans="8:8" x14ac:dyDescent="0.4">
      <c r="H3641" s="1"/>
    </row>
    <row r="3642" spans="8:8" x14ac:dyDescent="0.4">
      <c r="H3642" s="1"/>
    </row>
    <row r="3643" spans="8:8" x14ac:dyDescent="0.4">
      <c r="H3643" s="1"/>
    </row>
    <row r="3644" spans="8:8" x14ac:dyDescent="0.4">
      <c r="H3644" s="1"/>
    </row>
    <row r="3645" spans="8:8" x14ac:dyDescent="0.4">
      <c r="H3645" s="1"/>
    </row>
    <row r="3646" spans="8:8" x14ac:dyDescent="0.4">
      <c r="H3646" s="1"/>
    </row>
    <row r="3647" spans="8:8" x14ac:dyDescent="0.4">
      <c r="H3647" s="1"/>
    </row>
    <row r="3648" spans="8:8" x14ac:dyDescent="0.4">
      <c r="H3648" s="1"/>
    </row>
    <row r="3649" spans="8:8" x14ac:dyDescent="0.4">
      <c r="H3649" s="1"/>
    </row>
    <row r="3650" spans="8:8" x14ac:dyDescent="0.4">
      <c r="H3650" s="1"/>
    </row>
    <row r="3651" spans="8:8" x14ac:dyDescent="0.4">
      <c r="H3651" s="1"/>
    </row>
    <row r="3652" spans="8:8" x14ac:dyDescent="0.4">
      <c r="H3652" s="1"/>
    </row>
    <row r="3653" spans="8:8" x14ac:dyDescent="0.4">
      <c r="H3653" s="1"/>
    </row>
    <row r="3654" spans="8:8" x14ac:dyDescent="0.4">
      <c r="H3654" s="1"/>
    </row>
    <row r="3655" spans="8:8" x14ac:dyDescent="0.4">
      <c r="H3655" s="1"/>
    </row>
    <row r="3656" spans="8:8" x14ac:dyDescent="0.4">
      <c r="H3656" s="1"/>
    </row>
    <row r="3657" spans="8:8" x14ac:dyDescent="0.4">
      <c r="H3657" s="1"/>
    </row>
    <row r="3658" spans="8:8" x14ac:dyDescent="0.4">
      <c r="H3658" s="1"/>
    </row>
    <row r="3659" spans="8:8" x14ac:dyDescent="0.4">
      <c r="H3659" s="1"/>
    </row>
    <row r="3660" spans="8:8" x14ac:dyDescent="0.4">
      <c r="H3660" s="1"/>
    </row>
    <row r="3661" spans="8:8" x14ac:dyDescent="0.4">
      <c r="H3661" s="1"/>
    </row>
    <row r="3662" spans="8:8" x14ac:dyDescent="0.4">
      <c r="H3662" s="1"/>
    </row>
    <row r="3663" spans="8:8" x14ac:dyDescent="0.4">
      <c r="H3663" s="1"/>
    </row>
    <row r="3664" spans="8:8" x14ac:dyDescent="0.4">
      <c r="H3664" s="1"/>
    </row>
    <row r="3665" spans="8:8" x14ac:dyDescent="0.4">
      <c r="H3665" s="1"/>
    </row>
    <row r="3666" spans="8:8" x14ac:dyDescent="0.4">
      <c r="H3666" s="1"/>
    </row>
    <row r="3667" spans="8:8" x14ac:dyDescent="0.4">
      <c r="H3667" s="1"/>
    </row>
    <row r="3668" spans="8:8" x14ac:dyDescent="0.4">
      <c r="H3668" s="1"/>
    </row>
    <row r="3669" spans="8:8" x14ac:dyDescent="0.4">
      <c r="H3669" s="1"/>
    </row>
    <row r="3670" spans="8:8" x14ac:dyDescent="0.4">
      <c r="H3670" s="1"/>
    </row>
    <row r="3671" spans="8:8" x14ac:dyDescent="0.4">
      <c r="H3671" s="1"/>
    </row>
    <row r="3672" spans="8:8" x14ac:dyDescent="0.4">
      <c r="H3672" s="1"/>
    </row>
    <row r="3673" spans="8:8" x14ac:dyDescent="0.4">
      <c r="H3673" s="1"/>
    </row>
    <row r="3674" spans="8:8" x14ac:dyDescent="0.4">
      <c r="H3674" s="1"/>
    </row>
    <row r="3675" spans="8:8" x14ac:dyDescent="0.4">
      <c r="H3675" s="1"/>
    </row>
    <row r="3676" spans="8:8" x14ac:dyDescent="0.4">
      <c r="H3676" s="1"/>
    </row>
    <row r="3677" spans="8:8" x14ac:dyDescent="0.4">
      <c r="H3677" s="1"/>
    </row>
    <row r="3678" spans="8:8" x14ac:dyDescent="0.4">
      <c r="H3678" s="1"/>
    </row>
    <row r="3679" spans="8:8" x14ac:dyDescent="0.4">
      <c r="H3679" s="1"/>
    </row>
    <row r="3680" spans="8:8" x14ac:dyDescent="0.4">
      <c r="H3680" s="1"/>
    </row>
    <row r="3681" spans="8:8" x14ac:dyDescent="0.4">
      <c r="H3681" s="1"/>
    </row>
    <row r="3682" spans="8:8" x14ac:dyDescent="0.4">
      <c r="H3682" s="1"/>
    </row>
    <row r="3683" spans="8:8" x14ac:dyDescent="0.4">
      <c r="H3683" s="1"/>
    </row>
    <row r="3684" spans="8:8" x14ac:dyDescent="0.4">
      <c r="H3684" s="1"/>
    </row>
    <row r="3685" spans="8:8" x14ac:dyDescent="0.4">
      <c r="H3685" s="1"/>
    </row>
    <row r="3686" spans="8:8" x14ac:dyDescent="0.4">
      <c r="H3686" s="1"/>
    </row>
    <row r="3687" spans="8:8" x14ac:dyDescent="0.4">
      <c r="H3687" s="1"/>
    </row>
    <row r="3688" spans="8:8" x14ac:dyDescent="0.4">
      <c r="H3688" s="1"/>
    </row>
    <row r="3689" spans="8:8" x14ac:dyDescent="0.4">
      <c r="H3689" s="1"/>
    </row>
    <row r="3690" spans="8:8" x14ac:dyDescent="0.4">
      <c r="H3690" s="1"/>
    </row>
    <row r="3691" spans="8:8" x14ac:dyDescent="0.4">
      <c r="H3691" s="1"/>
    </row>
    <row r="3692" spans="8:8" x14ac:dyDescent="0.4">
      <c r="H3692" s="1"/>
    </row>
    <row r="3693" spans="8:8" x14ac:dyDescent="0.4">
      <c r="H3693" s="1"/>
    </row>
    <row r="3694" spans="8:8" x14ac:dyDescent="0.4">
      <c r="H3694" s="1"/>
    </row>
    <row r="3695" spans="8:8" x14ac:dyDescent="0.4">
      <c r="H3695" s="1"/>
    </row>
    <row r="3696" spans="8:8" x14ac:dyDescent="0.4">
      <c r="H3696" s="1"/>
    </row>
    <row r="3697" spans="8:8" x14ac:dyDescent="0.4">
      <c r="H3697" s="1"/>
    </row>
    <row r="3698" spans="8:8" x14ac:dyDescent="0.4">
      <c r="H3698" s="1"/>
    </row>
    <row r="3699" spans="8:8" x14ac:dyDescent="0.4">
      <c r="H3699" s="1"/>
    </row>
    <row r="3700" spans="8:8" x14ac:dyDescent="0.4">
      <c r="H3700" s="1"/>
    </row>
    <row r="3701" spans="8:8" x14ac:dyDescent="0.4">
      <c r="H3701" s="1"/>
    </row>
    <row r="3702" spans="8:8" x14ac:dyDescent="0.4">
      <c r="H3702" s="1"/>
    </row>
    <row r="3703" spans="8:8" x14ac:dyDescent="0.4">
      <c r="H3703" s="1"/>
    </row>
    <row r="3704" spans="8:8" x14ac:dyDescent="0.4">
      <c r="H3704" s="1"/>
    </row>
    <row r="3705" spans="8:8" x14ac:dyDescent="0.4">
      <c r="H3705" s="1"/>
    </row>
    <row r="3706" spans="8:8" x14ac:dyDescent="0.4">
      <c r="H3706" s="1"/>
    </row>
    <row r="3707" spans="8:8" x14ac:dyDescent="0.4">
      <c r="H3707" s="1"/>
    </row>
    <row r="3708" spans="8:8" x14ac:dyDescent="0.4">
      <c r="H3708" s="1"/>
    </row>
    <row r="3709" spans="8:8" x14ac:dyDescent="0.4">
      <c r="H3709" s="1"/>
    </row>
    <row r="3710" spans="8:8" x14ac:dyDescent="0.4">
      <c r="H3710" s="1"/>
    </row>
    <row r="3711" spans="8:8" x14ac:dyDescent="0.4">
      <c r="H3711" s="1"/>
    </row>
    <row r="3712" spans="8:8" x14ac:dyDescent="0.4">
      <c r="H3712" s="1"/>
    </row>
    <row r="3713" spans="8:8" x14ac:dyDescent="0.4">
      <c r="H3713" s="1"/>
    </row>
    <row r="3714" spans="8:8" x14ac:dyDescent="0.4">
      <c r="H3714" s="1"/>
    </row>
    <row r="3715" spans="8:8" x14ac:dyDescent="0.4">
      <c r="H3715" s="1"/>
    </row>
    <row r="3716" spans="8:8" x14ac:dyDescent="0.4">
      <c r="H3716" s="1"/>
    </row>
    <row r="3717" spans="8:8" x14ac:dyDescent="0.4">
      <c r="H3717" s="1"/>
    </row>
    <row r="3718" spans="8:8" x14ac:dyDescent="0.4">
      <c r="H3718" s="1"/>
    </row>
    <row r="3719" spans="8:8" x14ac:dyDescent="0.4">
      <c r="H3719" s="1"/>
    </row>
    <row r="3720" spans="8:8" x14ac:dyDescent="0.4">
      <c r="H3720" s="1"/>
    </row>
    <row r="3721" spans="8:8" x14ac:dyDescent="0.4">
      <c r="H3721" s="1"/>
    </row>
    <row r="3722" spans="8:8" x14ac:dyDescent="0.4">
      <c r="H3722" s="1"/>
    </row>
    <row r="3723" spans="8:8" x14ac:dyDescent="0.4">
      <c r="H3723" s="1"/>
    </row>
    <row r="3724" spans="8:8" x14ac:dyDescent="0.4">
      <c r="H3724" s="1"/>
    </row>
    <row r="3725" spans="8:8" x14ac:dyDescent="0.4">
      <c r="H3725" s="1"/>
    </row>
    <row r="3726" spans="8:8" x14ac:dyDescent="0.4">
      <c r="H3726" s="1"/>
    </row>
    <row r="3727" spans="8:8" x14ac:dyDescent="0.4">
      <c r="H3727" s="1"/>
    </row>
    <row r="3728" spans="8:8" x14ac:dyDescent="0.4">
      <c r="H3728" s="1"/>
    </row>
    <row r="3729" spans="8:8" x14ac:dyDescent="0.4">
      <c r="H3729" s="1"/>
    </row>
    <row r="3730" spans="8:8" x14ac:dyDescent="0.4">
      <c r="H3730" s="1"/>
    </row>
    <row r="3731" spans="8:8" x14ac:dyDescent="0.4">
      <c r="H3731" s="1"/>
    </row>
    <row r="3732" spans="8:8" x14ac:dyDescent="0.4">
      <c r="H3732" s="1"/>
    </row>
    <row r="3733" spans="8:8" x14ac:dyDescent="0.4">
      <c r="H3733" s="1"/>
    </row>
    <row r="3734" spans="8:8" x14ac:dyDescent="0.4">
      <c r="H3734" s="1"/>
    </row>
    <row r="3735" spans="8:8" x14ac:dyDescent="0.4">
      <c r="H3735" s="1"/>
    </row>
    <row r="3736" spans="8:8" x14ac:dyDescent="0.4">
      <c r="H3736" s="1"/>
    </row>
    <row r="3737" spans="8:8" x14ac:dyDescent="0.4">
      <c r="H3737" s="1"/>
    </row>
    <row r="3738" spans="8:8" x14ac:dyDescent="0.4">
      <c r="H3738" s="1"/>
    </row>
    <row r="3739" spans="8:8" x14ac:dyDescent="0.4">
      <c r="H3739" s="1"/>
    </row>
    <row r="3740" spans="8:8" x14ac:dyDescent="0.4">
      <c r="H3740" s="1"/>
    </row>
    <row r="3741" spans="8:8" x14ac:dyDescent="0.4">
      <c r="H3741" s="1"/>
    </row>
    <row r="3742" spans="8:8" x14ac:dyDescent="0.4">
      <c r="H3742" s="1"/>
    </row>
    <row r="3743" spans="8:8" x14ac:dyDescent="0.4">
      <c r="H3743" s="1"/>
    </row>
    <row r="3744" spans="8:8" x14ac:dyDescent="0.4">
      <c r="H3744" s="1"/>
    </row>
    <row r="3745" spans="8:8" x14ac:dyDescent="0.4">
      <c r="H3745" s="1"/>
    </row>
    <row r="3746" spans="8:8" x14ac:dyDescent="0.4">
      <c r="H3746" s="1"/>
    </row>
    <row r="3747" spans="8:8" x14ac:dyDescent="0.4">
      <c r="H3747" s="1"/>
    </row>
    <row r="3748" spans="8:8" x14ac:dyDescent="0.4">
      <c r="H3748" s="1"/>
    </row>
    <row r="3749" spans="8:8" x14ac:dyDescent="0.4">
      <c r="H3749" s="1"/>
    </row>
    <row r="3750" spans="8:8" x14ac:dyDescent="0.4">
      <c r="H3750" s="1"/>
    </row>
    <row r="3751" spans="8:8" x14ac:dyDescent="0.4">
      <c r="H3751" s="1"/>
    </row>
    <row r="3752" spans="8:8" x14ac:dyDescent="0.4">
      <c r="H3752" s="1"/>
    </row>
    <row r="3753" spans="8:8" x14ac:dyDescent="0.4">
      <c r="H3753" s="1"/>
    </row>
    <row r="3754" spans="8:8" x14ac:dyDescent="0.4">
      <c r="H3754" s="1"/>
    </row>
    <row r="3755" spans="8:8" x14ac:dyDescent="0.4">
      <c r="H3755" s="1"/>
    </row>
    <row r="3756" spans="8:8" x14ac:dyDescent="0.4">
      <c r="H3756" s="1"/>
    </row>
    <row r="3757" spans="8:8" x14ac:dyDescent="0.4">
      <c r="H3757" s="1"/>
    </row>
    <row r="3758" spans="8:8" x14ac:dyDescent="0.4">
      <c r="H3758" s="1"/>
    </row>
    <row r="3759" spans="8:8" x14ac:dyDescent="0.4">
      <c r="H3759" s="1"/>
    </row>
    <row r="3760" spans="8:8" x14ac:dyDescent="0.4">
      <c r="H3760" s="1"/>
    </row>
    <row r="3761" spans="8:8" x14ac:dyDescent="0.4">
      <c r="H3761" s="1"/>
    </row>
    <row r="3762" spans="8:8" x14ac:dyDescent="0.4">
      <c r="H3762" s="1"/>
    </row>
    <row r="3763" spans="8:8" x14ac:dyDescent="0.4">
      <c r="H3763" s="1"/>
    </row>
    <row r="3764" spans="8:8" x14ac:dyDescent="0.4">
      <c r="H3764" s="1"/>
    </row>
    <row r="3765" spans="8:8" x14ac:dyDescent="0.4">
      <c r="H3765" s="1"/>
    </row>
    <row r="3766" spans="8:8" x14ac:dyDescent="0.4">
      <c r="H3766" s="1"/>
    </row>
    <row r="3767" spans="8:8" x14ac:dyDescent="0.4">
      <c r="H3767" s="1"/>
    </row>
    <row r="3768" spans="8:8" x14ac:dyDescent="0.4">
      <c r="H3768" s="1"/>
    </row>
    <row r="3769" spans="8:8" x14ac:dyDescent="0.4">
      <c r="H3769" s="1"/>
    </row>
    <row r="3770" spans="8:8" x14ac:dyDescent="0.4">
      <c r="H3770" s="1"/>
    </row>
    <row r="3771" spans="8:8" x14ac:dyDescent="0.4">
      <c r="H3771" s="1"/>
    </row>
    <row r="3772" spans="8:8" x14ac:dyDescent="0.4">
      <c r="H3772" s="1"/>
    </row>
    <row r="3773" spans="8:8" x14ac:dyDescent="0.4">
      <c r="H3773" s="1"/>
    </row>
    <row r="3774" spans="8:8" x14ac:dyDescent="0.4">
      <c r="H3774" s="1"/>
    </row>
    <row r="3775" spans="8:8" x14ac:dyDescent="0.4">
      <c r="H3775" s="1"/>
    </row>
    <row r="3776" spans="8:8" x14ac:dyDescent="0.4">
      <c r="H3776" s="1"/>
    </row>
    <row r="3777" spans="8:8" x14ac:dyDescent="0.4">
      <c r="H3777" s="1"/>
    </row>
    <row r="3778" spans="8:8" x14ac:dyDescent="0.4">
      <c r="H3778" s="1"/>
    </row>
    <row r="3779" spans="8:8" x14ac:dyDescent="0.4">
      <c r="H3779" s="1"/>
    </row>
    <row r="3780" spans="8:8" x14ac:dyDescent="0.4">
      <c r="H3780" s="1"/>
    </row>
    <row r="3781" spans="8:8" x14ac:dyDescent="0.4">
      <c r="H3781" s="1"/>
    </row>
    <row r="3782" spans="8:8" x14ac:dyDescent="0.4">
      <c r="H3782" s="1"/>
    </row>
    <row r="3783" spans="8:8" x14ac:dyDescent="0.4">
      <c r="H3783" s="1"/>
    </row>
    <row r="3784" spans="8:8" x14ac:dyDescent="0.4">
      <c r="H3784" s="1"/>
    </row>
    <row r="3785" spans="8:8" x14ac:dyDescent="0.4">
      <c r="H3785" s="1"/>
    </row>
    <row r="3786" spans="8:8" x14ac:dyDescent="0.4">
      <c r="H3786" s="1"/>
    </row>
    <row r="3787" spans="8:8" x14ac:dyDescent="0.4">
      <c r="H3787" s="1"/>
    </row>
    <row r="3788" spans="8:8" x14ac:dyDescent="0.4">
      <c r="H3788" s="1"/>
    </row>
    <row r="3789" spans="8:8" x14ac:dyDescent="0.4">
      <c r="H3789" s="1"/>
    </row>
    <row r="3790" spans="8:8" x14ac:dyDescent="0.4">
      <c r="H3790" s="1"/>
    </row>
    <row r="3791" spans="8:8" x14ac:dyDescent="0.4">
      <c r="H3791" s="1"/>
    </row>
    <row r="3792" spans="8:8" x14ac:dyDescent="0.4">
      <c r="H3792" s="1"/>
    </row>
    <row r="3793" spans="8:8" x14ac:dyDescent="0.4">
      <c r="H3793" s="1"/>
    </row>
    <row r="3794" spans="8:8" x14ac:dyDescent="0.4">
      <c r="H3794" s="1"/>
    </row>
    <row r="3795" spans="8:8" x14ac:dyDescent="0.4">
      <c r="H3795" s="1"/>
    </row>
    <row r="3796" spans="8:8" x14ac:dyDescent="0.4">
      <c r="H3796" s="1"/>
    </row>
    <row r="3797" spans="8:8" x14ac:dyDescent="0.4">
      <c r="H3797" s="1"/>
    </row>
    <row r="3798" spans="8:8" x14ac:dyDescent="0.4">
      <c r="H3798" s="1"/>
    </row>
    <row r="3799" spans="8:8" x14ac:dyDescent="0.4">
      <c r="H3799" s="1"/>
    </row>
    <row r="3800" spans="8:8" x14ac:dyDescent="0.4">
      <c r="H3800" s="1"/>
    </row>
    <row r="3801" spans="8:8" x14ac:dyDescent="0.4">
      <c r="H3801" s="1"/>
    </row>
    <row r="3802" spans="8:8" x14ac:dyDescent="0.4">
      <c r="H3802" s="1"/>
    </row>
    <row r="3803" spans="8:8" x14ac:dyDescent="0.4">
      <c r="H3803" s="1"/>
    </row>
    <row r="3804" spans="8:8" x14ac:dyDescent="0.4">
      <c r="H3804" s="1"/>
    </row>
    <row r="3805" spans="8:8" x14ac:dyDescent="0.4">
      <c r="H3805" s="1"/>
    </row>
    <row r="3806" spans="8:8" x14ac:dyDescent="0.4">
      <c r="H3806" s="1"/>
    </row>
    <row r="3807" spans="8:8" x14ac:dyDescent="0.4">
      <c r="H3807" s="1"/>
    </row>
    <row r="3808" spans="8:8" x14ac:dyDescent="0.4">
      <c r="H3808" s="1"/>
    </row>
    <row r="3809" spans="8:8" x14ac:dyDescent="0.4">
      <c r="H3809" s="1"/>
    </row>
    <row r="3810" spans="8:8" x14ac:dyDescent="0.4">
      <c r="H3810" s="1"/>
    </row>
    <row r="3811" spans="8:8" x14ac:dyDescent="0.4">
      <c r="H3811" s="1"/>
    </row>
    <row r="3812" spans="8:8" x14ac:dyDescent="0.4">
      <c r="H3812" s="1"/>
    </row>
    <row r="3813" spans="8:8" x14ac:dyDescent="0.4">
      <c r="H3813" s="1"/>
    </row>
    <row r="3814" spans="8:8" x14ac:dyDescent="0.4">
      <c r="H3814" s="1"/>
    </row>
    <row r="3815" spans="8:8" x14ac:dyDescent="0.4">
      <c r="H3815" s="1"/>
    </row>
    <row r="3816" spans="8:8" x14ac:dyDescent="0.4">
      <c r="H3816" s="1"/>
    </row>
    <row r="3817" spans="8:8" x14ac:dyDescent="0.4">
      <c r="H3817" s="1"/>
    </row>
    <row r="3818" spans="8:8" x14ac:dyDescent="0.4">
      <c r="H3818" s="1"/>
    </row>
    <row r="3819" spans="8:8" x14ac:dyDescent="0.4">
      <c r="H3819" s="1"/>
    </row>
    <row r="3820" spans="8:8" x14ac:dyDescent="0.4">
      <c r="H3820" s="1"/>
    </row>
    <row r="3821" spans="8:8" x14ac:dyDescent="0.4">
      <c r="H3821" s="1"/>
    </row>
    <row r="3822" spans="8:8" x14ac:dyDescent="0.4">
      <c r="H3822" s="1"/>
    </row>
    <row r="3823" spans="8:8" x14ac:dyDescent="0.4">
      <c r="H3823" s="1"/>
    </row>
    <row r="3824" spans="8:8" x14ac:dyDescent="0.4">
      <c r="H3824" s="1"/>
    </row>
    <row r="3825" spans="8:8" x14ac:dyDescent="0.4">
      <c r="H3825" s="1"/>
    </row>
    <row r="3826" spans="8:8" x14ac:dyDescent="0.4">
      <c r="H3826" s="1"/>
    </row>
    <row r="3827" spans="8:8" x14ac:dyDescent="0.4">
      <c r="H3827" s="1"/>
    </row>
    <row r="3828" spans="8:8" x14ac:dyDescent="0.4">
      <c r="H3828" s="1"/>
    </row>
    <row r="3829" spans="8:8" x14ac:dyDescent="0.4">
      <c r="H3829" s="1"/>
    </row>
    <row r="3830" spans="8:8" x14ac:dyDescent="0.4">
      <c r="H3830" s="1"/>
    </row>
    <row r="3831" spans="8:8" x14ac:dyDescent="0.4">
      <c r="H3831" s="1"/>
    </row>
    <row r="3832" spans="8:8" x14ac:dyDescent="0.4">
      <c r="H3832" s="1"/>
    </row>
    <row r="3833" spans="8:8" x14ac:dyDescent="0.4">
      <c r="H3833" s="1"/>
    </row>
    <row r="3834" spans="8:8" x14ac:dyDescent="0.4">
      <c r="H3834" s="1"/>
    </row>
    <row r="3835" spans="8:8" x14ac:dyDescent="0.4">
      <c r="H3835" s="1"/>
    </row>
    <row r="3836" spans="8:8" x14ac:dyDescent="0.4">
      <c r="H3836" s="1"/>
    </row>
    <row r="3837" spans="8:8" x14ac:dyDescent="0.4">
      <c r="H3837" s="1"/>
    </row>
    <row r="3838" spans="8:8" x14ac:dyDescent="0.4">
      <c r="H3838" s="1"/>
    </row>
    <row r="3839" spans="8:8" x14ac:dyDescent="0.4">
      <c r="H3839" s="1"/>
    </row>
    <row r="3840" spans="8:8" x14ac:dyDescent="0.4">
      <c r="H3840" s="1"/>
    </row>
    <row r="3841" spans="8:8" x14ac:dyDescent="0.4">
      <c r="H3841" s="1"/>
    </row>
    <row r="3842" spans="8:8" x14ac:dyDescent="0.4">
      <c r="H3842" s="1"/>
    </row>
    <row r="3843" spans="8:8" x14ac:dyDescent="0.4">
      <c r="H3843" s="1"/>
    </row>
    <row r="3844" spans="8:8" x14ac:dyDescent="0.4">
      <c r="H3844" s="1"/>
    </row>
    <row r="3845" spans="8:8" x14ac:dyDescent="0.4">
      <c r="H3845" s="1"/>
    </row>
    <row r="3846" spans="8:8" x14ac:dyDescent="0.4">
      <c r="H3846" s="1"/>
    </row>
    <row r="3847" spans="8:8" x14ac:dyDescent="0.4">
      <c r="H3847" s="1"/>
    </row>
    <row r="3848" spans="8:8" x14ac:dyDescent="0.4">
      <c r="H3848" s="1"/>
    </row>
    <row r="3849" spans="8:8" x14ac:dyDescent="0.4">
      <c r="H3849" s="1"/>
    </row>
    <row r="3850" spans="8:8" x14ac:dyDescent="0.4">
      <c r="H3850" s="1"/>
    </row>
    <row r="3851" spans="8:8" x14ac:dyDescent="0.4">
      <c r="H3851" s="1"/>
    </row>
    <row r="3852" spans="8:8" x14ac:dyDescent="0.4">
      <c r="H3852" s="1"/>
    </row>
    <row r="3853" spans="8:8" x14ac:dyDescent="0.4">
      <c r="H3853" s="1"/>
    </row>
    <row r="3854" spans="8:8" x14ac:dyDescent="0.4">
      <c r="H3854" s="1"/>
    </row>
    <row r="3855" spans="8:8" x14ac:dyDescent="0.4">
      <c r="H3855" s="1"/>
    </row>
    <row r="3856" spans="8:8" x14ac:dyDescent="0.4">
      <c r="H3856" s="1"/>
    </row>
    <row r="3857" spans="8:8" x14ac:dyDescent="0.4">
      <c r="H3857" s="1"/>
    </row>
    <row r="3858" spans="8:8" x14ac:dyDescent="0.4">
      <c r="H3858" s="1"/>
    </row>
    <row r="3859" spans="8:8" x14ac:dyDescent="0.4">
      <c r="H3859" s="1"/>
    </row>
    <row r="3860" spans="8:8" x14ac:dyDescent="0.4">
      <c r="H3860" s="1"/>
    </row>
    <row r="3861" spans="8:8" x14ac:dyDescent="0.4">
      <c r="H3861" s="1"/>
    </row>
    <row r="3862" spans="8:8" x14ac:dyDescent="0.4">
      <c r="H3862" s="1"/>
    </row>
    <row r="3863" spans="8:8" x14ac:dyDescent="0.4">
      <c r="H3863" s="1"/>
    </row>
    <row r="3864" spans="8:8" x14ac:dyDescent="0.4">
      <c r="H3864" s="1"/>
    </row>
    <row r="3865" spans="8:8" x14ac:dyDescent="0.4">
      <c r="H3865" s="1"/>
    </row>
    <row r="3866" spans="8:8" x14ac:dyDescent="0.4">
      <c r="H3866" s="1"/>
    </row>
    <row r="3867" spans="8:8" x14ac:dyDescent="0.4">
      <c r="H3867" s="1"/>
    </row>
    <row r="3868" spans="8:8" x14ac:dyDescent="0.4">
      <c r="H3868" s="1"/>
    </row>
    <row r="3869" spans="8:8" x14ac:dyDescent="0.4">
      <c r="H3869" s="1"/>
    </row>
    <row r="3870" spans="8:8" x14ac:dyDescent="0.4">
      <c r="H3870" s="1"/>
    </row>
    <row r="3871" spans="8:8" x14ac:dyDescent="0.4">
      <c r="H3871" s="1"/>
    </row>
    <row r="3872" spans="8:8" x14ac:dyDescent="0.4">
      <c r="H3872" s="1"/>
    </row>
    <row r="3873" spans="8:8" x14ac:dyDescent="0.4">
      <c r="H3873" s="1"/>
    </row>
    <row r="3874" spans="8:8" x14ac:dyDescent="0.4">
      <c r="H3874" s="1"/>
    </row>
    <row r="3875" spans="8:8" x14ac:dyDescent="0.4">
      <c r="H3875" s="1"/>
    </row>
    <row r="3876" spans="8:8" x14ac:dyDescent="0.4">
      <c r="H3876" s="1"/>
    </row>
    <row r="3877" spans="8:8" x14ac:dyDescent="0.4">
      <c r="H3877" s="1"/>
    </row>
    <row r="3878" spans="8:8" x14ac:dyDescent="0.4">
      <c r="H3878" s="1"/>
    </row>
    <row r="3879" spans="8:8" x14ac:dyDescent="0.4">
      <c r="H3879" s="1"/>
    </row>
    <row r="3880" spans="8:8" x14ac:dyDescent="0.4">
      <c r="H3880" s="1"/>
    </row>
    <row r="3881" spans="8:8" x14ac:dyDescent="0.4">
      <c r="H3881" s="1"/>
    </row>
    <row r="3882" spans="8:8" x14ac:dyDescent="0.4">
      <c r="H3882" s="1"/>
    </row>
    <row r="3883" spans="8:8" x14ac:dyDescent="0.4">
      <c r="H3883" s="1"/>
    </row>
    <row r="3884" spans="8:8" x14ac:dyDescent="0.4">
      <c r="H3884" s="1"/>
    </row>
    <row r="3885" spans="8:8" x14ac:dyDescent="0.4">
      <c r="H3885" s="1"/>
    </row>
    <row r="3886" spans="8:8" x14ac:dyDescent="0.4">
      <c r="H3886" s="1"/>
    </row>
    <row r="3887" spans="8:8" x14ac:dyDescent="0.4">
      <c r="H3887" s="1"/>
    </row>
    <row r="3888" spans="8:8" x14ac:dyDescent="0.4">
      <c r="H3888" s="1"/>
    </row>
    <row r="3889" spans="8:8" x14ac:dyDescent="0.4">
      <c r="H3889" s="1"/>
    </row>
    <row r="3890" spans="8:8" x14ac:dyDescent="0.4">
      <c r="H3890" s="1"/>
    </row>
    <row r="3891" spans="8:8" x14ac:dyDescent="0.4">
      <c r="H3891" s="1"/>
    </row>
    <row r="3892" spans="8:8" x14ac:dyDescent="0.4">
      <c r="H3892" s="1"/>
    </row>
    <row r="3893" spans="8:8" x14ac:dyDescent="0.4">
      <c r="H3893" s="1"/>
    </row>
    <row r="3894" spans="8:8" x14ac:dyDescent="0.4">
      <c r="H3894" s="1"/>
    </row>
    <row r="3895" spans="8:8" x14ac:dyDescent="0.4">
      <c r="H3895" s="1"/>
    </row>
    <row r="3896" spans="8:8" x14ac:dyDescent="0.4">
      <c r="H3896" s="1"/>
    </row>
    <row r="3897" spans="8:8" x14ac:dyDescent="0.4">
      <c r="H3897" s="1"/>
    </row>
    <row r="3898" spans="8:8" x14ac:dyDescent="0.4">
      <c r="H3898" s="1"/>
    </row>
    <row r="3899" spans="8:8" x14ac:dyDescent="0.4">
      <c r="H3899" s="1"/>
    </row>
    <row r="3900" spans="8:8" x14ac:dyDescent="0.4">
      <c r="H3900" s="1"/>
    </row>
    <row r="3901" spans="8:8" x14ac:dyDescent="0.4">
      <c r="H3901" s="1"/>
    </row>
    <row r="3902" spans="8:8" x14ac:dyDescent="0.4">
      <c r="H3902" s="1"/>
    </row>
    <row r="3903" spans="8:8" x14ac:dyDescent="0.4">
      <c r="H3903" s="1"/>
    </row>
    <row r="3904" spans="8:8" x14ac:dyDescent="0.4">
      <c r="H3904" s="1"/>
    </row>
    <row r="3905" spans="8:8" x14ac:dyDescent="0.4">
      <c r="H3905" s="1"/>
    </row>
    <row r="3906" spans="8:8" x14ac:dyDescent="0.4">
      <c r="H3906" s="1"/>
    </row>
    <row r="3907" spans="8:8" x14ac:dyDescent="0.4">
      <c r="H3907" s="1"/>
    </row>
    <row r="3908" spans="8:8" x14ac:dyDescent="0.4">
      <c r="H3908" s="1"/>
    </row>
    <row r="3909" spans="8:8" x14ac:dyDescent="0.4">
      <c r="H3909" s="1"/>
    </row>
    <row r="3910" spans="8:8" x14ac:dyDescent="0.4">
      <c r="H3910" s="1"/>
    </row>
    <row r="3911" spans="8:8" x14ac:dyDescent="0.4">
      <c r="H3911" s="1"/>
    </row>
    <row r="3912" spans="8:8" x14ac:dyDescent="0.4">
      <c r="H3912" s="1"/>
    </row>
    <row r="3913" spans="8:8" x14ac:dyDescent="0.4">
      <c r="H3913" s="1"/>
    </row>
    <row r="3914" spans="8:8" x14ac:dyDescent="0.4">
      <c r="H3914" s="1"/>
    </row>
    <row r="3915" spans="8:8" x14ac:dyDescent="0.4">
      <c r="H3915" s="1"/>
    </row>
    <row r="3916" spans="8:8" x14ac:dyDescent="0.4">
      <c r="H3916" s="1"/>
    </row>
    <row r="3917" spans="8:8" x14ac:dyDescent="0.4">
      <c r="H3917" s="1"/>
    </row>
    <row r="3918" spans="8:8" x14ac:dyDescent="0.4">
      <c r="H3918" s="1"/>
    </row>
    <row r="3919" spans="8:8" x14ac:dyDescent="0.4">
      <c r="H3919" s="1"/>
    </row>
    <row r="3920" spans="8:8" x14ac:dyDescent="0.4">
      <c r="H3920" s="1"/>
    </row>
    <row r="3921" spans="8:8" x14ac:dyDescent="0.4">
      <c r="H3921" s="1"/>
    </row>
    <row r="3922" spans="8:8" x14ac:dyDescent="0.4">
      <c r="H3922" s="1"/>
    </row>
    <row r="3923" spans="8:8" x14ac:dyDescent="0.4">
      <c r="H3923" s="1"/>
    </row>
    <row r="3924" spans="8:8" x14ac:dyDescent="0.4">
      <c r="H3924" s="1"/>
    </row>
    <row r="3925" spans="8:8" x14ac:dyDescent="0.4">
      <c r="H3925" s="1"/>
    </row>
    <row r="3926" spans="8:8" x14ac:dyDescent="0.4">
      <c r="H3926" s="1"/>
    </row>
    <row r="3927" spans="8:8" x14ac:dyDescent="0.4">
      <c r="H3927" s="1"/>
    </row>
    <row r="3928" spans="8:8" x14ac:dyDescent="0.4">
      <c r="H3928" s="1"/>
    </row>
    <row r="3929" spans="8:8" x14ac:dyDescent="0.4">
      <c r="H3929" s="1"/>
    </row>
    <row r="3930" spans="8:8" x14ac:dyDescent="0.4">
      <c r="H3930" s="1"/>
    </row>
    <row r="3931" spans="8:8" x14ac:dyDescent="0.4">
      <c r="H3931" s="1"/>
    </row>
    <row r="3932" spans="8:8" x14ac:dyDescent="0.4">
      <c r="H3932" s="1"/>
    </row>
    <row r="3933" spans="8:8" x14ac:dyDescent="0.4">
      <c r="H3933" s="1"/>
    </row>
    <row r="3934" spans="8:8" x14ac:dyDescent="0.4">
      <c r="H3934" s="1"/>
    </row>
    <row r="3935" spans="8:8" x14ac:dyDescent="0.4">
      <c r="H3935" s="1"/>
    </row>
    <row r="3936" spans="8:8" x14ac:dyDescent="0.4">
      <c r="H3936" s="1"/>
    </row>
    <row r="3937" spans="8:8" x14ac:dyDescent="0.4">
      <c r="H3937" s="1"/>
    </row>
    <row r="3938" spans="8:8" x14ac:dyDescent="0.4">
      <c r="H3938" s="1"/>
    </row>
    <row r="3939" spans="8:8" x14ac:dyDescent="0.4">
      <c r="H3939" s="1"/>
    </row>
    <row r="3940" spans="8:8" x14ac:dyDescent="0.4">
      <c r="H3940" s="1"/>
    </row>
    <row r="3941" spans="8:8" x14ac:dyDescent="0.4">
      <c r="H3941" s="1"/>
    </row>
    <row r="3942" spans="8:8" x14ac:dyDescent="0.4">
      <c r="H3942" s="1"/>
    </row>
    <row r="3943" spans="8:8" x14ac:dyDescent="0.4">
      <c r="H3943" s="1"/>
    </row>
    <row r="3944" spans="8:8" x14ac:dyDescent="0.4">
      <c r="H3944" s="1"/>
    </row>
    <row r="3945" spans="8:8" x14ac:dyDescent="0.4">
      <c r="H3945" s="1"/>
    </row>
    <row r="3946" spans="8:8" x14ac:dyDescent="0.4">
      <c r="H3946" s="1"/>
    </row>
    <row r="3947" spans="8:8" x14ac:dyDescent="0.4">
      <c r="H3947" s="1"/>
    </row>
    <row r="3948" spans="8:8" x14ac:dyDescent="0.4">
      <c r="H3948" s="1"/>
    </row>
    <row r="3949" spans="8:8" x14ac:dyDescent="0.4">
      <c r="H3949" s="1"/>
    </row>
    <row r="3950" spans="8:8" x14ac:dyDescent="0.4">
      <c r="H3950" s="1"/>
    </row>
    <row r="3951" spans="8:8" x14ac:dyDescent="0.4">
      <c r="H3951" s="1"/>
    </row>
    <row r="3952" spans="8:8" x14ac:dyDescent="0.4">
      <c r="H3952" s="1"/>
    </row>
    <row r="3953" spans="8:8" x14ac:dyDescent="0.4">
      <c r="H3953" s="1"/>
    </row>
    <row r="3954" spans="8:8" x14ac:dyDescent="0.4">
      <c r="H3954" s="1"/>
    </row>
    <row r="3955" spans="8:8" x14ac:dyDescent="0.4">
      <c r="H3955" s="1"/>
    </row>
    <row r="3956" spans="8:8" x14ac:dyDescent="0.4">
      <c r="H3956" s="1"/>
    </row>
    <row r="3957" spans="8:8" x14ac:dyDescent="0.4">
      <c r="H3957" s="1"/>
    </row>
    <row r="3958" spans="8:8" x14ac:dyDescent="0.4">
      <c r="H3958" s="1"/>
    </row>
    <row r="3959" spans="8:8" x14ac:dyDescent="0.4">
      <c r="H3959" s="1"/>
    </row>
    <row r="3960" spans="8:8" x14ac:dyDescent="0.4">
      <c r="H3960" s="1"/>
    </row>
    <row r="3961" spans="8:8" x14ac:dyDescent="0.4">
      <c r="H3961" s="1"/>
    </row>
    <row r="3962" spans="8:8" x14ac:dyDescent="0.4">
      <c r="H3962" s="1"/>
    </row>
    <row r="3963" spans="8:8" x14ac:dyDescent="0.4">
      <c r="H3963" s="1"/>
    </row>
    <row r="3964" spans="8:8" x14ac:dyDescent="0.4">
      <c r="H3964" s="1"/>
    </row>
    <row r="3965" spans="8:8" x14ac:dyDescent="0.4">
      <c r="H3965" s="1"/>
    </row>
    <row r="3966" spans="8:8" x14ac:dyDescent="0.4">
      <c r="H3966" s="1"/>
    </row>
    <row r="3967" spans="8:8" x14ac:dyDescent="0.4">
      <c r="H3967" s="1"/>
    </row>
    <row r="3968" spans="8:8" x14ac:dyDescent="0.4">
      <c r="H3968" s="1"/>
    </row>
    <row r="3969" spans="8:8" x14ac:dyDescent="0.4">
      <c r="H3969" s="1"/>
    </row>
    <row r="3970" spans="8:8" x14ac:dyDescent="0.4">
      <c r="H3970" s="1"/>
    </row>
    <row r="3971" spans="8:8" x14ac:dyDescent="0.4">
      <c r="H3971" s="1"/>
    </row>
    <row r="3972" spans="8:8" x14ac:dyDescent="0.4">
      <c r="H3972" s="1"/>
    </row>
    <row r="3973" spans="8:8" x14ac:dyDescent="0.4">
      <c r="H3973" s="1"/>
    </row>
    <row r="3974" spans="8:8" x14ac:dyDescent="0.4">
      <c r="H3974" s="1"/>
    </row>
    <row r="3975" spans="8:8" x14ac:dyDescent="0.4">
      <c r="H3975" s="1"/>
    </row>
    <row r="3976" spans="8:8" x14ac:dyDescent="0.4">
      <c r="H3976" s="1"/>
    </row>
    <row r="3977" spans="8:8" x14ac:dyDescent="0.4">
      <c r="H3977" s="1"/>
    </row>
    <row r="3978" spans="8:8" x14ac:dyDescent="0.4">
      <c r="H3978" s="1"/>
    </row>
    <row r="3979" spans="8:8" x14ac:dyDescent="0.4">
      <c r="H3979" s="1"/>
    </row>
    <row r="3980" spans="8:8" x14ac:dyDescent="0.4">
      <c r="H3980" s="1"/>
    </row>
    <row r="3981" spans="8:8" x14ac:dyDescent="0.4">
      <c r="H3981" s="1"/>
    </row>
    <row r="3982" spans="8:8" x14ac:dyDescent="0.4">
      <c r="H3982" s="1"/>
    </row>
    <row r="3983" spans="8:8" x14ac:dyDescent="0.4">
      <c r="H3983" s="1"/>
    </row>
    <row r="3984" spans="8:8" x14ac:dyDescent="0.4">
      <c r="H3984" s="1"/>
    </row>
    <row r="3985" spans="8:8" x14ac:dyDescent="0.4">
      <c r="H3985" s="1"/>
    </row>
    <row r="3986" spans="8:8" x14ac:dyDescent="0.4">
      <c r="H3986" s="1"/>
    </row>
    <row r="3987" spans="8:8" x14ac:dyDescent="0.4">
      <c r="H3987" s="1"/>
    </row>
    <row r="3988" spans="8:8" x14ac:dyDescent="0.4">
      <c r="H3988" s="1"/>
    </row>
    <row r="3989" spans="8:8" x14ac:dyDescent="0.4">
      <c r="H3989" s="1"/>
    </row>
    <row r="3990" spans="8:8" x14ac:dyDescent="0.4">
      <c r="H3990" s="1"/>
    </row>
    <row r="3991" spans="8:8" x14ac:dyDescent="0.4">
      <c r="H3991" s="1"/>
    </row>
    <row r="3992" spans="8:8" x14ac:dyDescent="0.4">
      <c r="H3992" s="1"/>
    </row>
    <row r="3993" spans="8:8" x14ac:dyDescent="0.4">
      <c r="H3993" s="1"/>
    </row>
    <row r="3994" spans="8:8" x14ac:dyDescent="0.4">
      <c r="H3994" s="1"/>
    </row>
    <row r="3995" spans="8:8" x14ac:dyDescent="0.4">
      <c r="H3995" s="1"/>
    </row>
    <row r="3996" spans="8:8" x14ac:dyDescent="0.4">
      <c r="H3996" s="1"/>
    </row>
    <row r="3997" spans="8:8" x14ac:dyDescent="0.4">
      <c r="H3997" s="1"/>
    </row>
    <row r="3998" spans="8:8" x14ac:dyDescent="0.4">
      <c r="H3998" s="1"/>
    </row>
    <row r="3999" spans="8:8" x14ac:dyDescent="0.4">
      <c r="H3999" s="1"/>
    </row>
    <row r="4000" spans="8:8" x14ac:dyDescent="0.4">
      <c r="H4000" s="1"/>
    </row>
    <row r="4001" spans="8:8" x14ac:dyDescent="0.4">
      <c r="H4001" s="1"/>
    </row>
    <row r="4002" spans="8:8" x14ac:dyDescent="0.4">
      <c r="H4002" s="1"/>
    </row>
    <row r="4003" spans="8:8" x14ac:dyDescent="0.4">
      <c r="H4003" s="1"/>
    </row>
    <row r="4004" spans="8:8" x14ac:dyDescent="0.4">
      <c r="H4004" s="1"/>
    </row>
    <row r="4005" spans="8:8" x14ac:dyDescent="0.4">
      <c r="H4005" s="1"/>
    </row>
    <row r="4006" spans="8:8" x14ac:dyDescent="0.4">
      <c r="H4006" s="1"/>
    </row>
    <row r="4007" spans="8:8" x14ac:dyDescent="0.4">
      <c r="H4007" s="1"/>
    </row>
    <row r="4008" spans="8:8" x14ac:dyDescent="0.4">
      <c r="H4008" s="1"/>
    </row>
    <row r="4009" spans="8:8" x14ac:dyDescent="0.4">
      <c r="H4009" s="1"/>
    </row>
    <row r="4010" spans="8:8" x14ac:dyDescent="0.4">
      <c r="H4010" s="1"/>
    </row>
    <row r="4011" spans="8:8" x14ac:dyDescent="0.4">
      <c r="H4011" s="1"/>
    </row>
    <row r="4012" spans="8:8" x14ac:dyDescent="0.4">
      <c r="H4012" s="1"/>
    </row>
    <row r="4013" spans="8:8" x14ac:dyDescent="0.4">
      <c r="H4013" s="1"/>
    </row>
    <row r="4014" spans="8:8" x14ac:dyDescent="0.4">
      <c r="H4014" s="1"/>
    </row>
    <row r="4015" spans="8:8" x14ac:dyDescent="0.4">
      <c r="H4015" s="1"/>
    </row>
    <row r="4016" spans="8:8" x14ac:dyDescent="0.4">
      <c r="H4016" s="1"/>
    </row>
    <row r="4017" spans="8:8" x14ac:dyDescent="0.4">
      <c r="H4017" s="1"/>
    </row>
    <row r="4018" spans="8:8" x14ac:dyDescent="0.4">
      <c r="H4018" s="1"/>
    </row>
    <row r="4019" spans="8:8" x14ac:dyDescent="0.4">
      <c r="H4019" s="1"/>
    </row>
    <row r="4020" spans="8:8" x14ac:dyDescent="0.4">
      <c r="H4020" s="1"/>
    </row>
    <row r="4021" spans="8:8" x14ac:dyDescent="0.4">
      <c r="H4021" s="1"/>
    </row>
    <row r="4022" spans="8:8" x14ac:dyDescent="0.4">
      <c r="H4022" s="1"/>
    </row>
    <row r="4023" spans="8:8" x14ac:dyDescent="0.4">
      <c r="H4023" s="1"/>
    </row>
    <row r="4024" spans="8:8" x14ac:dyDescent="0.4">
      <c r="H4024" s="1"/>
    </row>
    <row r="4025" spans="8:8" x14ac:dyDescent="0.4">
      <c r="H4025" s="1"/>
    </row>
    <row r="4026" spans="8:8" x14ac:dyDescent="0.4">
      <c r="H4026" s="1"/>
    </row>
    <row r="4027" spans="8:8" x14ac:dyDescent="0.4">
      <c r="H4027" s="1"/>
    </row>
    <row r="4028" spans="8:8" x14ac:dyDescent="0.4">
      <c r="H4028" s="1"/>
    </row>
    <row r="4029" spans="8:8" x14ac:dyDescent="0.4">
      <c r="H4029" s="1"/>
    </row>
    <row r="4030" spans="8:8" x14ac:dyDescent="0.4">
      <c r="H4030" s="1"/>
    </row>
    <row r="4031" spans="8:8" x14ac:dyDescent="0.4">
      <c r="H4031" s="1"/>
    </row>
    <row r="4032" spans="8:8" x14ac:dyDescent="0.4">
      <c r="H4032" s="1"/>
    </row>
    <row r="4033" spans="8:8" x14ac:dyDescent="0.4">
      <c r="H4033" s="1"/>
    </row>
    <row r="4034" spans="8:8" x14ac:dyDescent="0.4">
      <c r="H4034" s="1"/>
    </row>
    <row r="4035" spans="8:8" x14ac:dyDescent="0.4">
      <c r="H4035" s="1"/>
    </row>
    <row r="4036" spans="8:8" x14ac:dyDescent="0.4">
      <c r="H4036" s="1"/>
    </row>
    <row r="4037" spans="8:8" x14ac:dyDescent="0.4">
      <c r="H4037" s="1"/>
    </row>
    <row r="4038" spans="8:8" x14ac:dyDescent="0.4">
      <c r="H4038" s="1"/>
    </row>
    <row r="4039" spans="8:8" x14ac:dyDescent="0.4">
      <c r="H4039" s="1"/>
    </row>
    <row r="4040" spans="8:8" x14ac:dyDescent="0.4">
      <c r="H4040" s="1"/>
    </row>
    <row r="4041" spans="8:8" x14ac:dyDescent="0.4">
      <c r="H4041" s="1"/>
    </row>
    <row r="4042" spans="8:8" x14ac:dyDescent="0.4">
      <c r="H4042" s="1"/>
    </row>
    <row r="4043" spans="8:8" x14ac:dyDescent="0.4">
      <c r="H4043" s="1"/>
    </row>
    <row r="4044" spans="8:8" x14ac:dyDescent="0.4">
      <c r="H4044" s="1"/>
    </row>
    <row r="4045" spans="8:8" x14ac:dyDescent="0.4">
      <c r="H4045" s="1"/>
    </row>
    <row r="4046" spans="8:8" x14ac:dyDescent="0.4">
      <c r="H4046" s="1"/>
    </row>
    <row r="4047" spans="8:8" x14ac:dyDescent="0.4">
      <c r="H4047" s="1"/>
    </row>
    <row r="4048" spans="8:8" x14ac:dyDescent="0.4">
      <c r="H4048" s="1"/>
    </row>
    <row r="4049" spans="8:8" x14ac:dyDescent="0.4">
      <c r="H4049" s="1"/>
    </row>
    <row r="4050" spans="8:8" x14ac:dyDescent="0.4">
      <c r="H4050" s="1"/>
    </row>
    <row r="4051" spans="8:8" x14ac:dyDescent="0.4">
      <c r="H4051" s="1"/>
    </row>
    <row r="4052" spans="8:8" x14ac:dyDescent="0.4">
      <c r="H4052" s="1"/>
    </row>
    <row r="4053" spans="8:8" x14ac:dyDescent="0.4">
      <c r="H4053" s="1"/>
    </row>
    <row r="4054" spans="8:8" x14ac:dyDescent="0.4">
      <c r="H4054" s="1"/>
    </row>
    <row r="4055" spans="8:8" x14ac:dyDescent="0.4">
      <c r="H4055" s="1"/>
    </row>
    <row r="4056" spans="8:8" x14ac:dyDescent="0.4">
      <c r="H4056" s="1"/>
    </row>
    <row r="4057" spans="8:8" x14ac:dyDescent="0.4">
      <c r="H4057" s="1"/>
    </row>
    <row r="4058" spans="8:8" x14ac:dyDescent="0.4">
      <c r="H4058" s="1"/>
    </row>
    <row r="4059" spans="8:8" x14ac:dyDescent="0.4">
      <c r="H4059" s="1"/>
    </row>
    <row r="4060" spans="8:8" x14ac:dyDescent="0.4">
      <c r="H4060" s="1"/>
    </row>
    <row r="4061" spans="8:8" x14ac:dyDescent="0.4">
      <c r="H4061" s="1"/>
    </row>
    <row r="4062" spans="8:8" x14ac:dyDescent="0.4">
      <c r="H4062" s="1"/>
    </row>
    <row r="4063" spans="8:8" x14ac:dyDescent="0.4">
      <c r="H4063" s="1"/>
    </row>
    <row r="4064" spans="8:8" x14ac:dyDescent="0.4">
      <c r="H4064" s="1"/>
    </row>
    <row r="4065" spans="8:8" x14ac:dyDescent="0.4">
      <c r="H4065" s="1"/>
    </row>
    <row r="4066" spans="8:8" x14ac:dyDescent="0.4">
      <c r="H4066" s="1"/>
    </row>
    <row r="4067" spans="8:8" x14ac:dyDescent="0.4">
      <c r="H4067" s="1"/>
    </row>
    <row r="4068" spans="8:8" x14ac:dyDescent="0.4">
      <c r="H4068" s="1"/>
    </row>
    <row r="4069" spans="8:8" x14ac:dyDescent="0.4">
      <c r="H4069" s="1"/>
    </row>
    <row r="4070" spans="8:8" x14ac:dyDescent="0.4">
      <c r="H4070" s="1"/>
    </row>
    <row r="4071" spans="8:8" x14ac:dyDescent="0.4">
      <c r="H4071" s="1"/>
    </row>
    <row r="4072" spans="8:8" x14ac:dyDescent="0.4">
      <c r="H4072" s="1"/>
    </row>
    <row r="4073" spans="8:8" x14ac:dyDescent="0.4">
      <c r="H4073" s="1"/>
    </row>
    <row r="4074" spans="8:8" x14ac:dyDescent="0.4">
      <c r="H4074" s="1"/>
    </row>
    <row r="4075" spans="8:8" x14ac:dyDescent="0.4">
      <c r="H4075" s="1"/>
    </row>
    <row r="4076" spans="8:8" x14ac:dyDescent="0.4">
      <c r="H4076" s="1"/>
    </row>
    <row r="4077" spans="8:8" x14ac:dyDescent="0.4">
      <c r="H4077" s="1"/>
    </row>
    <row r="4078" spans="8:8" x14ac:dyDescent="0.4">
      <c r="H4078" s="1"/>
    </row>
    <row r="4079" spans="8:8" x14ac:dyDescent="0.4">
      <c r="H4079" s="1"/>
    </row>
    <row r="4080" spans="8:8" x14ac:dyDescent="0.4">
      <c r="H4080" s="1"/>
    </row>
    <row r="4081" spans="8:8" x14ac:dyDescent="0.4">
      <c r="H4081" s="1"/>
    </row>
    <row r="4082" spans="8:8" x14ac:dyDescent="0.4">
      <c r="H4082" s="1"/>
    </row>
    <row r="4083" spans="8:8" x14ac:dyDescent="0.4">
      <c r="H4083" s="1"/>
    </row>
    <row r="4084" spans="8:8" x14ac:dyDescent="0.4">
      <c r="H4084" s="1"/>
    </row>
    <row r="4085" spans="8:8" x14ac:dyDescent="0.4">
      <c r="H4085" s="1"/>
    </row>
    <row r="4086" spans="8:8" x14ac:dyDescent="0.4">
      <c r="H4086" s="1"/>
    </row>
    <row r="4087" spans="8:8" x14ac:dyDescent="0.4">
      <c r="H4087" s="1"/>
    </row>
    <row r="4088" spans="8:8" x14ac:dyDescent="0.4">
      <c r="H4088" s="1"/>
    </row>
    <row r="4089" spans="8:8" x14ac:dyDescent="0.4">
      <c r="H4089" s="1"/>
    </row>
    <row r="4090" spans="8:8" x14ac:dyDescent="0.4">
      <c r="H4090" s="1"/>
    </row>
    <row r="4091" spans="8:8" x14ac:dyDescent="0.4">
      <c r="H4091" s="1"/>
    </row>
    <row r="4092" spans="8:8" x14ac:dyDescent="0.4">
      <c r="H4092" s="1"/>
    </row>
    <row r="4093" spans="8:8" x14ac:dyDescent="0.4">
      <c r="H4093" s="1"/>
    </row>
    <row r="4094" spans="8:8" x14ac:dyDescent="0.4">
      <c r="H4094" s="1"/>
    </row>
    <row r="4095" spans="8:8" x14ac:dyDescent="0.4">
      <c r="H4095" s="1"/>
    </row>
    <row r="4096" spans="8:8" x14ac:dyDescent="0.4">
      <c r="H4096" s="1"/>
    </row>
    <row r="4097" spans="8:8" x14ac:dyDescent="0.4">
      <c r="H4097" s="1"/>
    </row>
    <row r="4098" spans="8:8" x14ac:dyDescent="0.4">
      <c r="H4098" s="1"/>
    </row>
    <row r="4099" spans="8:8" x14ac:dyDescent="0.4">
      <c r="H4099" s="1"/>
    </row>
    <row r="4100" spans="8:8" x14ac:dyDescent="0.4">
      <c r="H4100" s="1"/>
    </row>
    <row r="4101" spans="8:8" x14ac:dyDescent="0.4">
      <c r="H4101" s="1"/>
    </row>
    <row r="4102" spans="8:8" x14ac:dyDescent="0.4">
      <c r="H4102" s="1"/>
    </row>
    <row r="4103" spans="8:8" x14ac:dyDescent="0.4">
      <c r="H4103" s="1"/>
    </row>
    <row r="4104" spans="8:8" x14ac:dyDescent="0.4">
      <c r="H4104" s="1"/>
    </row>
    <row r="4105" spans="8:8" x14ac:dyDescent="0.4">
      <c r="H4105" s="1"/>
    </row>
    <row r="4106" spans="8:8" x14ac:dyDescent="0.4">
      <c r="H4106" s="1"/>
    </row>
    <row r="4107" spans="8:8" x14ac:dyDescent="0.4">
      <c r="H4107" s="1"/>
    </row>
    <row r="4108" spans="8:8" x14ac:dyDescent="0.4">
      <c r="H4108" s="1"/>
    </row>
    <row r="4109" spans="8:8" x14ac:dyDescent="0.4">
      <c r="H4109" s="1"/>
    </row>
    <row r="4110" spans="8:8" x14ac:dyDescent="0.4">
      <c r="H4110" s="1"/>
    </row>
    <row r="4111" spans="8:8" x14ac:dyDescent="0.4">
      <c r="H4111" s="1"/>
    </row>
    <row r="4112" spans="8:8" x14ac:dyDescent="0.4">
      <c r="H4112" s="1"/>
    </row>
    <row r="4113" spans="8:8" x14ac:dyDescent="0.4">
      <c r="H4113" s="1"/>
    </row>
    <row r="4114" spans="8:8" x14ac:dyDescent="0.4">
      <c r="H4114" s="1"/>
    </row>
    <row r="4115" spans="8:8" x14ac:dyDescent="0.4">
      <c r="H4115" s="1"/>
    </row>
    <row r="4116" spans="8:8" x14ac:dyDescent="0.4">
      <c r="H4116" s="1"/>
    </row>
    <row r="4117" spans="8:8" x14ac:dyDescent="0.4">
      <c r="H4117" s="1"/>
    </row>
    <row r="4118" spans="8:8" x14ac:dyDescent="0.4">
      <c r="H4118" s="1"/>
    </row>
    <row r="4119" spans="8:8" x14ac:dyDescent="0.4">
      <c r="H4119" s="1"/>
    </row>
    <row r="4120" spans="8:8" x14ac:dyDescent="0.4">
      <c r="H4120" s="1"/>
    </row>
    <row r="4121" spans="8:8" x14ac:dyDescent="0.4">
      <c r="H4121" s="1"/>
    </row>
    <row r="4122" spans="8:8" x14ac:dyDescent="0.4">
      <c r="H4122" s="1"/>
    </row>
    <row r="4123" spans="8:8" x14ac:dyDescent="0.4">
      <c r="H4123" s="1"/>
    </row>
    <row r="4124" spans="8:8" x14ac:dyDescent="0.4">
      <c r="H4124" s="1"/>
    </row>
    <row r="4125" spans="8:8" x14ac:dyDescent="0.4">
      <c r="H4125" s="1"/>
    </row>
    <row r="4126" spans="8:8" x14ac:dyDescent="0.4">
      <c r="H4126" s="1"/>
    </row>
    <row r="4127" spans="8:8" x14ac:dyDescent="0.4">
      <c r="H4127" s="1"/>
    </row>
    <row r="4128" spans="8:8" x14ac:dyDescent="0.4">
      <c r="H4128" s="1"/>
    </row>
    <row r="4129" spans="8:8" x14ac:dyDescent="0.4">
      <c r="H4129" s="1"/>
    </row>
    <row r="4130" spans="8:8" x14ac:dyDescent="0.4">
      <c r="H4130" s="1"/>
    </row>
    <row r="4131" spans="8:8" x14ac:dyDescent="0.4">
      <c r="H4131" s="1"/>
    </row>
    <row r="4132" spans="8:8" x14ac:dyDescent="0.4">
      <c r="H4132" s="1"/>
    </row>
    <row r="4133" spans="8:8" x14ac:dyDescent="0.4">
      <c r="H4133" s="1"/>
    </row>
    <row r="4134" spans="8:8" x14ac:dyDescent="0.4">
      <c r="H4134" s="1"/>
    </row>
    <row r="4135" spans="8:8" x14ac:dyDescent="0.4">
      <c r="H4135" s="1"/>
    </row>
    <row r="4136" spans="8:8" x14ac:dyDescent="0.4">
      <c r="H4136" s="1"/>
    </row>
    <row r="4137" spans="8:8" x14ac:dyDescent="0.4">
      <c r="H4137" s="1"/>
    </row>
    <row r="4138" spans="8:8" x14ac:dyDescent="0.4">
      <c r="H4138" s="1"/>
    </row>
    <row r="4139" spans="8:8" x14ac:dyDescent="0.4">
      <c r="H4139" s="1"/>
    </row>
    <row r="4140" spans="8:8" x14ac:dyDescent="0.4">
      <c r="H4140" s="1"/>
    </row>
    <row r="4141" spans="8:8" x14ac:dyDescent="0.4">
      <c r="H4141" s="1"/>
    </row>
    <row r="4142" spans="8:8" x14ac:dyDescent="0.4">
      <c r="H4142" s="1"/>
    </row>
    <row r="4143" spans="8:8" x14ac:dyDescent="0.4">
      <c r="H4143" s="1"/>
    </row>
    <row r="4144" spans="8:8" x14ac:dyDescent="0.4">
      <c r="H4144" s="1"/>
    </row>
    <row r="4145" spans="8:8" x14ac:dyDescent="0.4">
      <c r="H4145" s="1"/>
    </row>
    <row r="4146" spans="8:8" x14ac:dyDescent="0.4">
      <c r="H4146" s="1"/>
    </row>
    <row r="4147" spans="8:8" x14ac:dyDescent="0.4">
      <c r="H4147" s="1"/>
    </row>
    <row r="4148" spans="8:8" x14ac:dyDescent="0.4">
      <c r="H4148" s="1"/>
    </row>
    <row r="4149" spans="8:8" x14ac:dyDescent="0.4">
      <c r="H4149" s="1"/>
    </row>
    <row r="4150" spans="8:8" x14ac:dyDescent="0.4">
      <c r="H4150" s="1"/>
    </row>
    <row r="4151" spans="8:8" x14ac:dyDescent="0.4">
      <c r="H4151" s="1"/>
    </row>
    <row r="4152" spans="8:8" x14ac:dyDescent="0.4">
      <c r="H4152" s="1"/>
    </row>
    <row r="4153" spans="8:8" x14ac:dyDescent="0.4">
      <c r="H4153" s="1"/>
    </row>
    <row r="4154" spans="8:8" x14ac:dyDescent="0.4">
      <c r="H4154" s="1"/>
    </row>
    <row r="4155" spans="8:8" x14ac:dyDescent="0.4">
      <c r="H4155" s="1"/>
    </row>
    <row r="4156" spans="8:8" x14ac:dyDescent="0.4">
      <c r="H4156" s="1"/>
    </row>
    <row r="4157" spans="8:8" x14ac:dyDescent="0.4">
      <c r="H4157" s="1"/>
    </row>
    <row r="4158" spans="8:8" x14ac:dyDescent="0.4">
      <c r="H4158" s="1"/>
    </row>
    <row r="4159" spans="8:8" x14ac:dyDescent="0.4">
      <c r="H4159" s="1"/>
    </row>
    <row r="4160" spans="8:8" x14ac:dyDescent="0.4">
      <c r="H4160" s="1"/>
    </row>
    <row r="4161" spans="8:8" x14ac:dyDescent="0.4">
      <c r="H4161" s="1"/>
    </row>
    <row r="4162" spans="8:8" x14ac:dyDescent="0.4">
      <c r="H4162" s="1"/>
    </row>
    <row r="4163" spans="8:8" x14ac:dyDescent="0.4">
      <c r="H4163" s="1"/>
    </row>
    <row r="4164" spans="8:8" x14ac:dyDescent="0.4">
      <c r="H4164" s="1"/>
    </row>
    <row r="4165" spans="8:8" x14ac:dyDescent="0.4">
      <c r="H4165" s="1"/>
    </row>
    <row r="4166" spans="8:8" x14ac:dyDescent="0.4">
      <c r="H4166" s="1"/>
    </row>
    <row r="4167" spans="8:8" x14ac:dyDescent="0.4">
      <c r="H4167" s="1"/>
    </row>
    <row r="4168" spans="8:8" x14ac:dyDescent="0.4">
      <c r="H4168" s="1"/>
    </row>
    <row r="4169" spans="8:8" x14ac:dyDescent="0.4">
      <c r="H4169" s="1"/>
    </row>
    <row r="4170" spans="8:8" x14ac:dyDescent="0.4">
      <c r="H4170" s="1"/>
    </row>
    <row r="4171" spans="8:8" x14ac:dyDescent="0.4">
      <c r="H4171" s="1"/>
    </row>
    <row r="4172" spans="8:8" x14ac:dyDescent="0.4">
      <c r="H4172" s="1"/>
    </row>
    <row r="4173" spans="8:8" x14ac:dyDescent="0.4">
      <c r="H4173" s="1"/>
    </row>
    <row r="4174" spans="8:8" x14ac:dyDescent="0.4">
      <c r="H4174" s="1"/>
    </row>
    <row r="4175" spans="8:8" x14ac:dyDescent="0.4">
      <c r="H4175" s="1"/>
    </row>
    <row r="4176" spans="8:8" x14ac:dyDescent="0.4">
      <c r="H4176" s="1"/>
    </row>
    <row r="4177" spans="8:8" x14ac:dyDescent="0.4">
      <c r="H4177" s="1"/>
    </row>
    <row r="4178" spans="8:8" x14ac:dyDescent="0.4">
      <c r="H4178" s="1"/>
    </row>
    <row r="4179" spans="8:8" x14ac:dyDescent="0.4">
      <c r="H4179" s="1"/>
    </row>
    <row r="4180" spans="8:8" x14ac:dyDescent="0.4">
      <c r="H4180" s="1"/>
    </row>
    <row r="4181" spans="8:8" x14ac:dyDescent="0.4">
      <c r="H4181" s="1"/>
    </row>
    <row r="4182" spans="8:8" x14ac:dyDescent="0.4">
      <c r="H4182" s="1"/>
    </row>
    <row r="4183" spans="8:8" x14ac:dyDescent="0.4">
      <c r="H4183" s="1"/>
    </row>
    <row r="4184" spans="8:8" x14ac:dyDescent="0.4">
      <c r="H4184" s="1"/>
    </row>
    <row r="4185" spans="8:8" x14ac:dyDescent="0.4">
      <c r="H4185" s="1"/>
    </row>
    <row r="4186" spans="8:8" x14ac:dyDescent="0.4">
      <c r="H4186" s="1"/>
    </row>
    <row r="4187" spans="8:8" x14ac:dyDescent="0.4">
      <c r="H4187" s="1"/>
    </row>
    <row r="4188" spans="8:8" x14ac:dyDescent="0.4">
      <c r="H4188" s="1"/>
    </row>
    <row r="4189" spans="8:8" x14ac:dyDescent="0.4">
      <c r="H4189" s="1"/>
    </row>
    <row r="4190" spans="8:8" x14ac:dyDescent="0.4">
      <c r="H4190" s="1"/>
    </row>
    <row r="4191" spans="8:8" x14ac:dyDescent="0.4">
      <c r="H4191" s="1"/>
    </row>
    <row r="4192" spans="8:8" x14ac:dyDescent="0.4">
      <c r="H4192" s="1"/>
    </row>
    <row r="4193" spans="8:8" x14ac:dyDescent="0.4">
      <c r="H4193" s="1"/>
    </row>
    <row r="4194" spans="8:8" x14ac:dyDescent="0.4">
      <c r="H4194" s="1"/>
    </row>
    <row r="4195" spans="8:8" x14ac:dyDescent="0.4">
      <c r="H4195" s="1"/>
    </row>
    <row r="4196" spans="8:8" x14ac:dyDescent="0.4">
      <c r="H4196" s="1"/>
    </row>
    <row r="4197" spans="8:8" x14ac:dyDescent="0.4">
      <c r="H4197" s="1"/>
    </row>
    <row r="4198" spans="8:8" x14ac:dyDescent="0.4">
      <c r="H4198" s="1"/>
    </row>
    <row r="4199" spans="8:8" x14ac:dyDescent="0.4">
      <c r="H4199" s="1"/>
    </row>
    <row r="4200" spans="8:8" x14ac:dyDescent="0.4">
      <c r="H4200" s="1"/>
    </row>
    <row r="4201" spans="8:8" x14ac:dyDescent="0.4">
      <c r="H4201" s="1"/>
    </row>
    <row r="4202" spans="8:8" x14ac:dyDescent="0.4">
      <c r="H4202" s="1"/>
    </row>
    <row r="4203" spans="8:8" x14ac:dyDescent="0.4">
      <c r="H4203" s="1"/>
    </row>
    <row r="4204" spans="8:8" x14ac:dyDescent="0.4">
      <c r="H4204" s="1"/>
    </row>
    <row r="4205" spans="8:8" x14ac:dyDescent="0.4">
      <c r="H4205" s="1"/>
    </row>
    <row r="4206" spans="8:8" x14ac:dyDescent="0.4">
      <c r="H4206" s="1"/>
    </row>
    <row r="4207" spans="8:8" x14ac:dyDescent="0.4">
      <c r="H4207" s="1"/>
    </row>
    <row r="4208" spans="8:8" x14ac:dyDescent="0.4">
      <c r="H4208" s="1"/>
    </row>
    <row r="4209" spans="8:8" x14ac:dyDescent="0.4">
      <c r="H4209" s="1"/>
    </row>
    <row r="4210" spans="8:8" x14ac:dyDescent="0.4">
      <c r="H4210" s="1"/>
    </row>
    <row r="4211" spans="8:8" x14ac:dyDescent="0.4">
      <c r="H4211" s="1"/>
    </row>
    <row r="4212" spans="8:8" x14ac:dyDescent="0.4">
      <c r="H4212" s="1"/>
    </row>
    <row r="4213" spans="8:8" x14ac:dyDescent="0.4">
      <c r="H4213" s="1"/>
    </row>
    <row r="4214" spans="8:8" x14ac:dyDescent="0.4">
      <c r="H4214" s="1"/>
    </row>
    <row r="4215" spans="8:8" x14ac:dyDescent="0.4">
      <c r="H4215" s="1"/>
    </row>
    <row r="4216" spans="8:8" x14ac:dyDescent="0.4">
      <c r="H4216" s="1"/>
    </row>
    <row r="4217" spans="8:8" x14ac:dyDescent="0.4">
      <c r="H4217" s="1"/>
    </row>
    <row r="4218" spans="8:8" x14ac:dyDescent="0.4">
      <c r="H4218" s="1"/>
    </row>
    <row r="4219" spans="8:8" x14ac:dyDescent="0.4">
      <c r="H4219" s="1"/>
    </row>
    <row r="4220" spans="8:8" x14ac:dyDescent="0.4">
      <c r="H4220" s="1"/>
    </row>
    <row r="4221" spans="8:8" x14ac:dyDescent="0.4">
      <c r="H4221" s="1"/>
    </row>
    <row r="4222" spans="8:8" x14ac:dyDescent="0.4">
      <c r="H4222" s="1"/>
    </row>
    <row r="4223" spans="8:8" x14ac:dyDescent="0.4">
      <c r="H4223" s="1"/>
    </row>
    <row r="4224" spans="8:8" x14ac:dyDescent="0.4">
      <c r="H4224" s="1"/>
    </row>
    <row r="4225" spans="8:8" x14ac:dyDescent="0.4">
      <c r="H4225" s="1"/>
    </row>
    <row r="4226" spans="8:8" x14ac:dyDescent="0.4">
      <c r="H4226" s="1"/>
    </row>
    <row r="4227" spans="8:8" x14ac:dyDescent="0.4">
      <c r="H4227" s="1"/>
    </row>
    <row r="4228" spans="8:8" x14ac:dyDescent="0.4">
      <c r="H4228" s="1"/>
    </row>
    <row r="4229" spans="8:8" x14ac:dyDescent="0.4">
      <c r="H4229" s="1"/>
    </row>
    <row r="4230" spans="8:8" x14ac:dyDescent="0.4">
      <c r="H4230" s="1"/>
    </row>
    <row r="4231" spans="8:8" x14ac:dyDescent="0.4">
      <c r="H4231" s="1"/>
    </row>
    <row r="4232" spans="8:8" x14ac:dyDescent="0.4">
      <c r="H4232" s="1"/>
    </row>
    <row r="4233" spans="8:8" x14ac:dyDescent="0.4">
      <c r="H4233" s="1"/>
    </row>
    <row r="4234" spans="8:8" x14ac:dyDescent="0.4">
      <c r="H4234" s="1"/>
    </row>
    <row r="4235" spans="8:8" x14ac:dyDescent="0.4">
      <c r="H4235" s="1"/>
    </row>
    <row r="4236" spans="8:8" x14ac:dyDescent="0.4">
      <c r="H4236" s="1"/>
    </row>
    <row r="4237" spans="8:8" x14ac:dyDescent="0.4">
      <c r="H4237" s="1"/>
    </row>
    <row r="4238" spans="8:8" x14ac:dyDescent="0.4">
      <c r="H4238" s="1"/>
    </row>
    <row r="4239" spans="8:8" x14ac:dyDescent="0.4">
      <c r="H4239" s="1"/>
    </row>
    <row r="4240" spans="8:8" x14ac:dyDescent="0.4">
      <c r="H4240" s="1"/>
    </row>
    <row r="4241" spans="8:8" x14ac:dyDescent="0.4">
      <c r="H4241" s="1"/>
    </row>
    <row r="4242" spans="8:8" x14ac:dyDescent="0.4">
      <c r="H4242" s="1"/>
    </row>
    <row r="4243" spans="8:8" x14ac:dyDescent="0.4">
      <c r="H4243" s="1"/>
    </row>
    <row r="4244" spans="8:8" x14ac:dyDescent="0.4">
      <c r="H4244" s="1"/>
    </row>
    <row r="4245" spans="8:8" x14ac:dyDescent="0.4">
      <c r="H4245" s="1"/>
    </row>
    <row r="4246" spans="8:8" x14ac:dyDescent="0.4">
      <c r="H4246" s="1"/>
    </row>
    <row r="4247" spans="8:8" x14ac:dyDescent="0.4">
      <c r="H4247" s="1"/>
    </row>
    <row r="4248" spans="8:8" x14ac:dyDescent="0.4">
      <c r="H4248" s="1"/>
    </row>
    <row r="4249" spans="8:8" x14ac:dyDescent="0.4">
      <c r="H4249" s="1"/>
    </row>
    <row r="4250" spans="8:8" x14ac:dyDescent="0.4">
      <c r="H4250" s="1"/>
    </row>
    <row r="4251" spans="8:8" x14ac:dyDescent="0.4">
      <c r="H4251" s="1"/>
    </row>
    <row r="4252" spans="8:8" x14ac:dyDescent="0.4">
      <c r="H4252" s="1"/>
    </row>
    <row r="4253" spans="8:8" x14ac:dyDescent="0.4">
      <c r="H4253" s="1"/>
    </row>
    <row r="4254" spans="8:8" x14ac:dyDescent="0.4">
      <c r="H4254" s="1"/>
    </row>
    <row r="4255" spans="8:8" x14ac:dyDescent="0.4">
      <c r="H4255" s="1"/>
    </row>
    <row r="4256" spans="8:8" x14ac:dyDescent="0.4">
      <c r="H4256" s="1"/>
    </row>
    <row r="4257" spans="8:8" x14ac:dyDescent="0.4">
      <c r="H4257" s="1"/>
    </row>
    <row r="4258" spans="8:8" x14ac:dyDescent="0.4">
      <c r="H4258" s="1"/>
    </row>
    <row r="4259" spans="8:8" x14ac:dyDescent="0.4">
      <c r="H4259" s="1"/>
    </row>
    <row r="4260" spans="8:8" x14ac:dyDescent="0.4">
      <c r="H4260" s="1"/>
    </row>
    <row r="4261" spans="8:8" x14ac:dyDescent="0.4">
      <c r="H4261" s="1"/>
    </row>
    <row r="4262" spans="8:8" x14ac:dyDescent="0.4">
      <c r="H4262" s="1"/>
    </row>
    <row r="4263" spans="8:8" x14ac:dyDescent="0.4">
      <c r="H4263" s="1"/>
    </row>
    <row r="4264" spans="8:8" x14ac:dyDescent="0.4">
      <c r="H4264" s="1"/>
    </row>
    <row r="4265" spans="8:8" x14ac:dyDescent="0.4">
      <c r="H4265" s="1"/>
    </row>
    <row r="4266" spans="8:8" x14ac:dyDescent="0.4">
      <c r="H4266" s="1"/>
    </row>
    <row r="4267" spans="8:8" x14ac:dyDescent="0.4">
      <c r="H4267" s="1"/>
    </row>
    <row r="4268" spans="8:8" x14ac:dyDescent="0.4">
      <c r="H4268" s="1"/>
    </row>
    <row r="4269" spans="8:8" x14ac:dyDescent="0.4">
      <c r="H4269" s="1"/>
    </row>
    <row r="4270" spans="8:8" x14ac:dyDescent="0.4">
      <c r="H4270" s="1"/>
    </row>
    <row r="4271" spans="8:8" x14ac:dyDescent="0.4">
      <c r="H4271" s="1"/>
    </row>
    <row r="4272" spans="8:8" x14ac:dyDescent="0.4">
      <c r="H4272" s="1"/>
    </row>
    <row r="4273" spans="8:8" x14ac:dyDescent="0.4">
      <c r="H4273" s="1"/>
    </row>
    <row r="4274" spans="8:8" x14ac:dyDescent="0.4">
      <c r="H4274" s="1"/>
    </row>
    <row r="4275" spans="8:8" x14ac:dyDescent="0.4">
      <c r="H4275" s="1"/>
    </row>
    <row r="4276" spans="8:8" x14ac:dyDescent="0.4">
      <c r="H4276" s="1"/>
    </row>
    <row r="4277" spans="8:8" x14ac:dyDescent="0.4">
      <c r="H4277" s="1"/>
    </row>
    <row r="4278" spans="8:8" x14ac:dyDescent="0.4">
      <c r="H4278" s="1"/>
    </row>
    <row r="4279" spans="8:8" x14ac:dyDescent="0.4">
      <c r="H4279" s="1"/>
    </row>
    <row r="4280" spans="8:8" x14ac:dyDescent="0.4">
      <c r="H4280" s="1"/>
    </row>
    <row r="4281" spans="8:8" x14ac:dyDescent="0.4">
      <c r="H4281" s="1"/>
    </row>
    <row r="4282" spans="8:8" x14ac:dyDescent="0.4">
      <c r="H4282" s="1"/>
    </row>
    <row r="4283" spans="8:8" x14ac:dyDescent="0.4">
      <c r="H4283" s="1"/>
    </row>
    <row r="4284" spans="8:8" x14ac:dyDescent="0.4">
      <c r="H4284" s="1"/>
    </row>
    <row r="4285" spans="8:8" x14ac:dyDescent="0.4">
      <c r="H4285" s="1"/>
    </row>
    <row r="4286" spans="8:8" x14ac:dyDescent="0.4">
      <c r="H4286" s="1"/>
    </row>
    <row r="4287" spans="8:8" x14ac:dyDescent="0.4">
      <c r="H4287" s="1"/>
    </row>
    <row r="4288" spans="8:8" x14ac:dyDescent="0.4">
      <c r="H4288" s="1"/>
    </row>
    <row r="4289" spans="8:8" x14ac:dyDescent="0.4">
      <c r="H4289" s="1"/>
    </row>
    <row r="4290" spans="8:8" x14ac:dyDescent="0.4">
      <c r="H4290" s="1"/>
    </row>
    <row r="4291" spans="8:8" x14ac:dyDescent="0.4">
      <c r="H4291" s="1"/>
    </row>
    <row r="4292" spans="8:8" x14ac:dyDescent="0.4">
      <c r="H4292" s="1"/>
    </row>
    <row r="4293" spans="8:8" x14ac:dyDescent="0.4">
      <c r="H4293" s="1"/>
    </row>
    <row r="4294" spans="8:8" x14ac:dyDescent="0.4">
      <c r="H4294" s="1"/>
    </row>
    <row r="4295" spans="8:8" x14ac:dyDescent="0.4">
      <c r="H4295" s="1"/>
    </row>
    <row r="4296" spans="8:8" x14ac:dyDescent="0.4">
      <c r="H4296" s="1"/>
    </row>
    <row r="4297" spans="8:8" x14ac:dyDescent="0.4">
      <c r="H4297" s="1"/>
    </row>
    <row r="4298" spans="8:8" x14ac:dyDescent="0.4">
      <c r="H4298" s="1"/>
    </row>
    <row r="4299" spans="8:8" x14ac:dyDescent="0.4">
      <c r="H4299" s="1"/>
    </row>
    <row r="4300" spans="8:8" x14ac:dyDescent="0.4">
      <c r="H4300" s="1"/>
    </row>
    <row r="4301" spans="8:8" x14ac:dyDescent="0.4">
      <c r="H4301" s="1"/>
    </row>
    <row r="4302" spans="8:8" x14ac:dyDescent="0.4">
      <c r="H4302" s="1"/>
    </row>
    <row r="4303" spans="8:8" x14ac:dyDescent="0.4">
      <c r="H4303" s="1"/>
    </row>
    <row r="4304" spans="8:8" x14ac:dyDescent="0.4">
      <c r="H4304" s="1"/>
    </row>
    <row r="4305" spans="8:8" x14ac:dyDescent="0.4">
      <c r="H4305" s="1"/>
    </row>
    <row r="4306" spans="8:8" x14ac:dyDescent="0.4">
      <c r="H4306" s="1"/>
    </row>
    <row r="4307" spans="8:8" x14ac:dyDescent="0.4">
      <c r="H4307" s="1"/>
    </row>
    <row r="4308" spans="8:8" x14ac:dyDescent="0.4">
      <c r="H4308" s="1"/>
    </row>
    <row r="4309" spans="8:8" x14ac:dyDescent="0.4">
      <c r="H4309" s="1"/>
    </row>
    <row r="4310" spans="8:8" x14ac:dyDescent="0.4">
      <c r="H4310" s="1"/>
    </row>
    <row r="4311" spans="8:8" x14ac:dyDescent="0.4">
      <c r="H4311" s="1"/>
    </row>
    <row r="4312" spans="8:8" x14ac:dyDescent="0.4">
      <c r="H4312" s="1"/>
    </row>
    <row r="4313" spans="8:8" x14ac:dyDescent="0.4">
      <c r="H4313" s="1"/>
    </row>
    <row r="4314" spans="8:8" x14ac:dyDescent="0.4">
      <c r="H4314" s="1"/>
    </row>
    <row r="4315" spans="8:8" x14ac:dyDescent="0.4">
      <c r="H4315" s="1"/>
    </row>
    <row r="4316" spans="8:8" x14ac:dyDescent="0.4">
      <c r="H4316" s="1"/>
    </row>
    <row r="4317" spans="8:8" x14ac:dyDescent="0.4">
      <c r="H4317" s="1"/>
    </row>
    <row r="4318" spans="8:8" x14ac:dyDescent="0.4">
      <c r="H4318" s="1"/>
    </row>
    <row r="4319" spans="8:8" x14ac:dyDescent="0.4">
      <c r="H4319" s="1"/>
    </row>
    <row r="4320" spans="8:8" x14ac:dyDescent="0.4">
      <c r="H4320" s="1"/>
    </row>
    <row r="4321" spans="8:8" x14ac:dyDescent="0.4">
      <c r="H4321" s="1"/>
    </row>
    <row r="4322" spans="8:8" x14ac:dyDescent="0.4">
      <c r="H4322" s="1"/>
    </row>
    <row r="4323" spans="8:8" x14ac:dyDescent="0.4">
      <c r="H4323" s="1"/>
    </row>
    <row r="4324" spans="8:8" x14ac:dyDescent="0.4">
      <c r="H4324" s="1"/>
    </row>
    <row r="4325" spans="8:8" x14ac:dyDescent="0.4">
      <c r="H4325" s="1"/>
    </row>
    <row r="4326" spans="8:8" x14ac:dyDescent="0.4">
      <c r="H4326" s="1"/>
    </row>
    <row r="4327" spans="8:8" x14ac:dyDescent="0.4">
      <c r="H4327" s="1"/>
    </row>
    <row r="4328" spans="8:8" x14ac:dyDescent="0.4">
      <c r="H4328" s="1"/>
    </row>
    <row r="4329" spans="8:8" x14ac:dyDescent="0.4">
      <c r="H4329" s="1"/>
    </row>
    <row r="4330" spans="8:8" x14ac:dyDescent="0.4">
      <c r="H4330" s="1"/>
    </row>
    <row r="4331" spans="8:8" x14ac:dyDescent="0.4">
      <c r="H4331" s="1"/>
    </row>
    <row r="4332" spans="8:8" x14ac:dyDescent="0.4">
      <c r="H4332" s="1"/>
    </row>
    <row r="4333" spans="8:8" x14ac:dyDescent="0.4">
      <c r="H4333" s="1"/>
    </row>
    <row r="4334" spans="8:8" x14ac:dyDescent="0.4">
      <c r="H4334" s="1"/>
    </row>
    <row r="4335" spans="8:8" x14ac:dyDescent="0.4">
      <c r="H4335" s="1"/>
    </row>
    <row r="4336" spans="8:8" x14ac:dyDescent="0.4">
      <c r="H4336" s="1"/>
    </row>
    <row r="4337" spans="8:8" x14ac:dyDescent="0.4">
      <c r="H4337" s="1"/>
    </row>
    <row r="4338" spans="8:8" x14ac:dyDescent="0.4">
      <c r="H4338" s="1"/>
    </row>
    <row r="4339" spans="8:8" x14ac:dyDescent="0.4">
      <c r="H4339" s="1"/>
    </row>
    <row r="4340" spans="8:8" x14ac:dyDescent="0.4">
      <c r="H4340" s="1"/>
    </row>
    <row r="4341" spans="8:8" x14ac:dyDescent="0.4">
      <c r="H4341" s="1"/>
    </row>
    <row r="4342" spans="8:8" x14ac:dyDescent="0.4">
      <c r="H4342" s="1"/>
    </row>
    <row r="4343" spans="8:8" x14ac:dyDescent="0.4">
      <c r="H4343" s="1"/>
    </row>
    <row r="4344" spans="8:8" x14ac:dyDescent="0.4">
      <c r="H4344" s="1"/>
    </row>
    <row r="4345" spans="8:8" x14ac:dyDescent="0.4">
      <c r="H4345" s="1"/>
    </row>
    <row r="4346" spans="8:8" x14ac:dyDescent="0.4">
      <c r="H4346" s="1"/>
    </row>
    <row r="4347" spans="8:8" x14ac:dyDescent="0.4">
      <c r="H4347" s="1"/>
    </row>
    <row r="4348" spans="8:8" x14ac:dyDescent="0.4">
      <c r="H4348" s="1"/>
    </row>
    <row r="4349" spans="8:8" x14ac:dyDescent="0.4">
      <c r="H4349" s="1"/>
    </row>
    <row r="4350" spans="8:8" x14ac:dyDescent="0.4">
      <c r="H4350" s="1"/>
    </row>
    <row r="4351" spans="8:8" x14ac:dyDescent="0.4">
      <c r="H4351" s="1"/>
    </row>
    <row r="4352" spans="8:8" x14ac:dyDescent="0.4">
      <c r="H4352" s="1"/>
    </row>
    <row r="4353" spans="8:8" x14ac:dyDescent="0.4">
      <c r="H4353" s="1"/>
    </row>
    <row r="4354" spans="8:8" x14ac:dyDescent="0.4">
      <c r="H4354" s="1"/>
    </row>
    <row r="4355" spans="8:8" x14ac:dyDescent="0.4">
      <c r="H4355" s="1"/>
    </row>
    <row r="4356" spans="8:8" x14ac:dyDescent="0.4">
      <c r="H4356" s="1"/>
    </row>
    <row r="4357" spans="8:8" x14ac:dyDescent="0.4">
      <c r="H4357" s="1"/>
    </row>
    <row r="4358" spans="8:8" x14ac:dyDescent="0.4">
      <c r="H4358" s="1"/>
    </row>
    <row r="4359" spans="8:8" x14ac:dyDescent="0.4">
      <c r="H4359" s="1"/>
    </row>
    <row r="4360" spans="8:8" x14ac:dyDescent="0.4">
      <c r="H4360" s="1"/>
    </row>
    <row r="4361" spans="8:8" x14ac:dyDescent="0.4">
      <c r="H4361" s="1"/>
    </row>
    <row r="4362" spans="8:8" x14ac:dyDescent="0.4">
      <c r="H4362" s="1"/>
    </row>
    <row r="4363" spans="8:8" x14ac:dyDescent="0.4">
      <c r="H4363" s="1"/>
    </row>
    <row r="4364" spans="8:8" x14ac:dyDescent="0.4">
      <c r="H4364" s="1"/>
    </row>
    <row r="4365" spans="8:8" x14ac:dyDescent="0.4">
      <c r="H4365" s="1"/>
    </row>
    <row r="4366" spans="8:8" x14ac:dyDescent="0.4">
      <c r="H4366" s="1"/>
    </row>
    <row r="4367" spans="8:8" x14ac:dyDescent="0.4">
      <c r="H4367" s="1"/>
    </row>
    <row r="4368" spans="8:8" x14ac:dyDescent="0.4">
      <c r="H4368" s="1"/>
    </row>
    <row r="4369" spans="8:8" x14ac:dyDescent="0.4">
      <c r="H4369" s="1"/>
    </row>
    <row r="4370" spans="8:8" x14ac:dyDescent="0.4">
      <c r="H4370" s="1"/>
    </row>
    <row r="4371" spans="8:8" x14ac:dyDescent="0.4">
      <c r="H4371" s="1"/>
    </row>
    <row r="4372" spans="8:8" x14ac:dyDescent="0.4">
      <c r="H4372" s="1"/>
    </row>
    <row r="4373" spans="8:8" x14ac:dyDescent="0.4">
      <c r="H4373" s="1"/>
    </row>
    <row r="4374" spans="8:8" x14ac:dyDescent="0.4">
      <c r="H4374" s="1"/>
    </row>
    <row r="4375" spans="8:8" x14ac:dyDescent="0.4">
      <c r="H4375" s="1"/>
    </row>
    <row r="4376" spans="8:8" x14ac:dyDescent="0.4">
      <c r="H4376" s="1"/>
    </row>
    <row r="4377" spans="8:8" x14ac:dyDescent="0.4">
      <c r="H4377" s="1"/>
    </row>
    <row r="4378" spans="8:8" x14ac:dyDescent="0.4">
      <c r="H4378" s="1"/>
    </row>
    <row r="4379" spans="8:8" x14ac:dyDescent="0.4">
      <c r="H4379" s="1"/>
    </row>
    <row r="4380" spans="8:8" x14ac:dyDescent="0.4">
      <c r="H4380" s="1"/>
    </row>
    <row r="4381" spans="8:8" x14ac:dyDescent="0.4">
      <c r="H4381" s="1"/>
    </row>
    <row r="4382" spans="8:8" x14ac:dyDescent="0.4">
      <c r="H4382" s="1"/>
    </row>
    <row r="4383" spans="8:8" x14ac:dyDescent="0.4">
      <c r="H4383" s="1"/>
    </row>
    <row r="4384" spans="8:8" x14ac:dyDescent="0.4">
      <c r="H4384" s="1"/>
    </row>
    <row r="4385" spans="8:8" x14ac:dyDescent="0.4">
      <c r="H4385" s="1"/>
    </row>
    <row r="4386" spans="8:8" x14ac:dyDescent="0.4">
      <c r="H4386" s="1"/>
    </row>
    <row r="4387" spans="8:8" x14ac:dyDescent="0.4">
      <c r="H4387" s="1"/>
    </row>
    <row r="4388" spans="8:8" x14ac:dyDescent="0.4">
      <c r="H4388" s="1"/>
    </row>
    <row r="4389" spans="8:8" x14ac:dyDescent="0.4">
      <c r="H4389" s="1"/>
    </row>
    <row r="4390" spans="8:8" x14ac:dyDescent="0.4">
      <c r="H4390" s="1"/>
    </row>
    <row r="4391" spans="8:8" x14ac:dyDescent="0.4">
      <c r="H4391" s="1"/>
    </row>
    <row r="4392" spans="8:8" x14ac:dyDescent="0.4">
      <c r="H4392" s="1"/>
    </row>
    <row r="4393" spans="8:8" x14ac:dyDescent="0.4">
      <c r="H4393" s="1"/>
    </row>
    <row r="4394" spans="8:8" x14ac:dyDescent="0.4">
      <c r="H4394" s="1"/>
    </row>
    <row r="4395" spans="8:8" x14ac:dyDescent="0.4">
      <c r="H4395" s="1"/>
    </row>
    <row r="4396" spans="8:8" x14ac:dyDescent="0.4">
      <c r="H4396" s="1"/>
    </row>
    <row r="4397" spans="8:8" x14ac:dyDescent="0.4">
      <c r="H4397" s="1"/>
    </row>
    <row r="4398" spans="8:8" x14ac:dyDescent="0.4">
      <c r="H4398" s="1"/>
    </row>
    <row r="4399" spans="8:8" x14ac:dyDescent="0.4">
      <c r="H4399" s="1"/>
    </row>
    <row r="4400" spans="8:8" x14ac:dyDescent="0.4">
      <c r="H4400" s="1"/>
    </row>
    <row r="4401" spans="8:8" x14ac:dyDescent="0.4">
      <c r="H4401" s="1"/>
    </row>
    <row r="4402" spans="8:8" x14ac:dyDescent="0.4">
      <c r="H4402" s="1"/>
    </row>
    <row r="4403" spans="8:8" x14ac:dyDescent="0.4">
      <c r="H4403" s="1"/>
    </row>
    <row r="4404" spans="8:8" x14ac:dyDescent="0.4">
      <c r="H4404" s="1"/>
    </row>
    <row r="4405" spans="8:8" x14ac:dyDescent="0.4">
      <c r="H4405" s="1"/>
    </row>
    <row r="4406" spans="8:8" x14ac:dyDescent="0.4">
      <c r="H4406" s="1"/>
    </row>
    <row r="4407" spans="8:8" x14ac:dyDescent="0.4">
      <c r="H4407" s="1"/>
    </row>
    <row r="4408" spans="8:8" x14ac:dyDescent="0.4">
      <c r="H4408" s="1"/>
    </row>
    <row r="4409" spans="8:8" x14ac:dyDescent="0.4">
      <c r="H4409" s="1"/>
    </row>
    <row r="4410" spans="8:8" x14ac:dyDescent="0.4">
      <c r="H4410" s="1"/>
    </row>
    <row r="4411" spans="8:8" x14ac:dyDescent="0.4">
      <c r="H4411" s="1"/>
    </row>
    <row r="4412" spans="8:8" x14ac:dyDescent="0.4">
      <c r="H4412" s="1"/>
    </row>
    <row r="4413" spans="8:8" x14ac:dyDescent="0.4">
      <c r="H4413" s="1"/>
    </row>
    <row r="4414" spans="8:8" x14ac:dyDescent="0.4">
      <c r="H4414" s="1"/>
    </row>
    <row r="4415" spans="8:8" x14ac:dyDescent="0.4">
      <c r="H4415" s="1"/>
    </row>
    <row r="4416" spans="8:8" x14ac:dyDescent="0.4">
      <c r="H4416" s="1"/>
    </row>
    <row r="4417" spans="8:8" x14ac:dyDescent="0.4">
      <c r="H4417" s="1"/>
    </row>
    <row r="4418" spans="8:8" x14ac:dyDescent="0.4">
      <c r="H4418" s="1"/>
    </row>
    <row r="4419" spans="8:8" x14ac:dyDescent="0.4">
      <c r="H4419" s="1"/>
    </row>
    <row r="4420" spans="8:8" x14ac:dyDescent="0.4">
      <c r="H4420" s="1"/>
    </row>
    <row r="4421" spans="8:8" x14ac:dyDescent="0.4">
      <c r="H4421" s="1"/>
    </row>
    <row r="4422" spans="8:8" x14ac:dyDescent="0.4">
      <c r="H4422" s="1"/>
    </row>
    <row r="4423" spans="8:8" x14ac:dyDescent="0.4">
      <c r="H4423" s="1"/>
    </row>
    <row r="4424" spans="8:8" x14ac:dyDescent="0.4">
      <c r="H4424" s="1"/>
    </row>
    <row r="4425" spans="8:8" x14ac:dyDescent="0.4">
      <c r="H4425" s="1"/>
    </row>
    <row r="4426" spans="8:8" x14ac:dyDescent="0.4">
      <c r="H4426" s="1"/>
    </row>
    <row r="4427" spans="8:8" x14ac:dyDescent="0.4">
      <c r="H4427" s="1"/>
    </row>
    <row r="4428" spans="8:8" x14ac:dyDescent="0.4">
      <c r="H4428" s="1"/>
    </row>
    <row r="4429" spans="8:8" x14ac:dyDescent="0.4">
      <c r="H4429" s="1"/>
    </row>
    <row r="4430" spans="8:8" x14ac:dyDescent="0.4">
      <c r="H4430" s="1"/>
    </row>
    <row r="4431" spans="8:8" x14ac:dyDescent="0.4">
      <c r="H4431" s="1"/>
    </row>
    <row r="4432" spans="8:8" x14ac:dyDescent="0.4">
      <c r="H4432" s="1"/>
    </row>
    <row r="4433" spans="8:8" x14ac:dyDescent="0.4">
      <c r="H4433" s="1"/>
    </row>
    <row r="4434" spans="8:8" x14ac:dyDescent="0.4">
      <c r="H4434" s="1"/>
    </row>
    <row r="4435" spans="8:8" x14ac:dyDescent="0.4">
      <c r="H4435" s="1"/>
    </row>
    <row r="4436" spans="8:8" x14ac:dyDescent="0.4">
      <c r="H4436" s="1"/>
    </row>
    <row r="4437" spans="8:8" x14ac:dyDescent="0.4">
      <c r="H4437" s="1"/>
    </row>
    <row r="4438" spans="8:8" x14ac:dyDescent="0.4">
      <c r="H4438" s="1"/>
    </row>
    <row r="4439" spans="8:8" x14ac:dyDescent="0.4">
      <c r="H4439" s="1"/>
    </row>
    <row r="4440" spans="8:8" x14ac:dyDescent="0.4">
      <c r="H4440" s="1"/>
    </row>
    <row r="4441" spans="8:8" x14ac:dyDescent="0.4">
      <c r="H4441" s="1"/>
    </row>
    <row r="4442" spans="8:8" x14ac:dyDescent="0.4">
      <c r="H4442" s="1"/>
    </row>
    <row r="4443" spans="8:8" x14ac:dyDescent="0.4">
      <c r="H4443" s="1"/>
    </row>
    <row r="4444" spans="8:8" x14ac:dyDescent="0.4">
      <c r="H4444" s="1"/>
    </row>
    <row r="4445" spans="8:8" x14ac:dyDescent="0.4">
      <c r="H4445" s="1"/>
    </row>
    <row r="4446" spans="8:8" x14ac:dyDescent="0.4">
      <c r="H4446" s="1"/>
    </row>
    <row r="4447" spans="8:8" x14ac:dyDescent="0.4">
      <c r="H4447" s="1"/>
    </row>
    <row r="4448" spans="8:8" x14ac:dyDescent="0.4">
      <c r="H4448" s="1"/>
    </row>
    <row r="4449" spans="8:8" x14ac:dyDescent="0.4">
      <c r="H4449" s="1"/>
    </row>
    <row r="4450" spans="8:8" x14ac:dyDescent="0.4">
      <c r="H4450" s="1"/>
    </row>
    <row r="4451" spans="8:8" x14ac:dyDescent="0.4">
      <c r="H4451" s="1"/>
    </row>
    <row r="4452" spans="8:8" x14ac:dyDescent="0.4">
      <c r="H4452" s="1"/>
    </row>
    <row r="4453" spans="8:8" x14ac:dyDescent="0.4">
      <c r="H4453" s="1"/>
    </row>
    <row r="4454" spans="8:8" x14ac:dyDescent="0.4">
      <c r="H4454" s="1"/>
    </row>
    <row r="4455" spans="8:8" x14ac:dyDescent="0.4">
      <c r="H4455" s="1"/>
    </row>
    <row r="4456" spans="8:8" x14ac:dyDescent="0.4">
      <c r="H4456" s="1"/>
    </row>
    <row r="4457" spans="8:8" x14ac:dyDescent="0.4">
      <c r="H4457" s="1"/>
    </row>
    <row r="4458" spans="8:8" x14ac:dyDescent="0.4">
      <c r="H4458" s="1"/>
    </row>
    <row r="4459" spans="8:8" x14ac:dyDescent="0.4">
      <c r="H4459" s="1"/>
    </row>
    <row r="4460" spans="8:8" x14ac:dyDescent="0.4">
      <c r="H4460" s="1"/>
    </row>
    <row r="4461" spans="8:8" x14ac:dyDescent="0.4">
      <c r="H4461" s="1"/>
    </row>
    <row r="4462" spans="8:8" x14ac:dyDescent="0.4">
      <c r="H4462" s="1"/>
    </row>
    <row r="4463" spans="8:8" x14ac:dyDescent="0.4">
      <c r="H4463" s="1"/>
    </row>
    <row r="4464" spans="8:8" x14ac:dyDescent="0.4">
      <c r="H4464" s="1"/>
    </row>
    <row r="4465" spans="8:8" x14ac:dyDescent="0.4">
      <c r="H4465" s="1"/>
    </row>
    <row r="4466" spans="8:8" x14ac:dyDescent="0.4">
      <c r="H4466" s="1"/>
    </row>
    <row r="4467" spans="8:8" x14ac:dyDescent="0.4">
      <c r="H4467" s="1"/>
    </row>
    <row r="4468" spans="8:8" x14ac:dyDescent="0.4">
      <c r="H4468" s="1"/>
    </row>
    <row r="4469" spans="8:8" x14ac:dyDescent="0.4">
      <c r="H4469" s="1"/>
    </row>
    <row r="4470" spans="8:8" x14ac:dyDescent="0.4">
      <c r="H4470" s="1"/>
    </row>
    <row r="4471" spans="8:8" x14ac:dyDescent="0.4">
      <c r="H4471" s="1"/>
    </row>
    <row r="4472" spans="8:8" x14ac:dyDescent="0.4">
      <c r="H4472" s="1"/>
    </row>
    <row r="4473" spans="8:8" x14ac:dyDescent="0.4">
      <c r="H4473" s="1"/>
    </row>
    <row r="4474" spans="8:8" x14ac:dyDescent="0.4">
      <c r="H4474" s="1"/>
    </row>
    <row r="4475" spans="8:8" x14ac:dyDescent="0.4">
      <c r="H4475" s="1"/>
    </row>
    <row r="4476" spans="8:8" x14ac:dyDescent="0.4">
      <c r="H4476" s="1"/>
    </row>
    <row r="4477" spans="8:8" x14ac:dyDescent="0.4">
      <c r="H4477" s="1"/>
    </row>
    <row r="4478" spans="8:8" x14ac:dyDescent="0.4">
      <c r="H4478" s="1"/>
    </row>
    <row r="4479" spans="8:8" x14ac:dyDescent="0.4">
      <c r="H4479" s="1"/>
    </row>
    <row r="4480" spans="8:8" x14ac:dyDescent="0.4">
      <c r="H4480" s="1"/>
    </row>
    <row r="4481" spans="8:8" x14ac:dyDescent="0.4">
      <c r="H4481" s="1"/>
    </row>
    <row r="4482" spans="8:8" x14ac:dyDescent="0.4">
      <c r="H4482" s="1"/>
    </row>
    <row r="4483" spans="8:8" x14ac:dyDescent="0.4">
      <c r="H4483" s="1"/>
    </row>
    <row r="4484" spans="8:8" x14ac:dyDescent="0.4">
      <c r="H4484" s="1"/>
    </row>
    <row r="4485" spans="8:8" x14ac:dyDescent="0.4">
      <c r="H4485" s="1"/>
    </row>
    <row r="4486" spans="8:8" x14ac:dyDescent="0.4">
      <c r="H4486" s="1"/>
    </row>
    <row r="4487" spans="8:8" x14ac:dyDescent="0.4">
      <c r="H4487" s="1"/>
    </row>
    <row r="4488" spans="8:8" x14ac:dyDescent="0.4">
      <c r="H4488" s="1"/>
    </row>
    <row r="4489" spans="8:8" x14ac:dyDescent="0.4">
      <c r="H4489" s="1"/>
    </row>
    <row r="4490" spans="8:8" x14ac:dyDescent="0.4">
      <c r="H4490" s="1"/>
    </row>
    <row r="4491" spans="8:8" x14ac:dyDescent="0.4">
      <c r="H4491" s="1"/>
    </row>
    <row r="4492" spans="8:8" x14ac:dyDescent="0.4">
      <c r="H4492" s="1"/>
    </row>
    <row r="4493" spans="8:8" x14ac:dyDescent="0.4">
      <c r="H4493" s="1"/>
    </row>
    <row r="4494" spans="8:8" x14ac:dyDescent="0.4">
      <c r="H4494" s="1"/>
    </row>
    <row r="4495" spans="8:8" x14ac:dyDescent="0.4">
      <c r="H4495" s="1"/>
    </row>
    <row r="4496" spans="8:8" x14ac:dyDescent="0.4">
      <c r="H4496" s="1"/>
    </row>
    <row r="4497" spans="8:8" x14ac:dyDescent="0.4">
      <c r="H4497" s="1"/>
    </row>
    <row r="4498" spans="8:8" x14ac:dyDescent="0.4">
      <c r="H4498" s="1"/>
    </row>
    <row r="4499" spans="8:8" x14ac:dyDescent="0.4">
      <c r="H4499" s="1"/>
    </row>
    <row r="4500" spans="8:8" x14ac:dyDescent="0.4">
      <c r="H4500" s="1"/>
    </row>
    <row r="4501" spans="8:8" x14ac:dyDescent="0.4">
      <c r="H4501" s="1"/>
    </row>
    <row r="4502" spans="8:8" x14ac:dyDescent="0.4">
      <c r="H4502" s="1"/>
    </row>
    <row r="4503" spans="8:8" x14ac:dyDescent="0.4">
      <c r="H4503" s="1"/>
    </row>
    <row r="4504" spans="8:8" x14ac:dyDescent="0.4">
      <c r="H4504" s="1"/>
    </row>
    <row r="4505" spans="8:8" x14ac:dyDescent="0.4">
      <c r="H4505" s="1"/>
    </row>
    <row r="4506" spans="8:8" x14ac:dyDescent="0.4">
      <c r="H4506" s="1"/>
    </row>
    <row r="4507" spans="8:8" x14ac:dyDescent="0.4">
      <c r="H4507" s="1"/>
    </row>
    <row r="4508" spans="8:8" x14ac:dyDescent="0.4">
      <c r="H4508" s="1"/>
    </row>
    <row r="4509" spans="8:8" x14ac:dyDescent="0.4">
      <c r="H4509" s="1"/>
    </row>
    <row r="4510" spans="8:8" x14ac:dyDescent="0.4">
      <c r="H4510" s="1"/>
    </row>
    <row r="4511" spans="8:8" x14ac:dyDescent="0.4">
      <c r="H4511" s="1"/>
    </row>
    <row r="4512" spans="8:8" x14ac:dyDescent="0.4">
      <c r="H4512" s="1"/>
    </row>
    <row r="4513" spans="8:8" x14ac:dyDescent="0.4">
      <c r="H4513" s="1"/>
    </row>
    <row r="4514" spans="8:8" x14ac:dyDescent="0.4">
      <c r="H4514" s="1"/>
    </row>
    <row r="4515" spans="8:8" x14ac:dyDescent="0.4">
      <c r="H4515" s="1"/>
    </row>
    <row r="4516" spans="8:8" x14ac:dyDescent="0.4">
      <c r="H4516" s="1"/>
    </row>
    <row r="4517" spans="8:8" x14ac:dyDescent="0.4">
      <c r="H4517" s="1"/>
    </row>
    <row r="4518" spans="8:8" x14ac:dyDescent="0.4">
      <c r="H4518" s="1"/>
    </row>
    <row r="4519" spans="8:8" x14ac:dyDescent="0.4">
      <c r="H4519" s="1"/>
    </row>
    <row r="4520" spans="8:8" x14ac:dyDescent="0.4">
      <c r="H4520" s="1"/>
    </row>
    <row r="4521" spans="8:8" x14ac:dyDescent="0.4">
      <c r="H4521" s="1"/>
    </row>
    <row r="4522" spans="8:8" x14ac:dyDescent="0.4">
      <c r="H4522" s="1"/>
    </row>
    <row r="4523" spans="8:8" x14ac:dyDescent="0.4">
      <c r="H4523" s="1"/>
    </row>
    <row r="4524" spans="8:8" x14ac:dyDescent="0.4">
      <c r="H4524" s="1"/>
    </row>
    <row r="4525" spans="8:8" x14ac:dyDescent="0.4">
      <c r="H4525" s="1"/>
    </row>
    <row r="4526" spans="8:8" x14ac:dyDescent="0.4">
      <c r="H4526" s="1"/>
    </row>
    <row r="4527" spans="8:8" x14ac:dyDescent="0.4">
      <c r="H4527" s="1"/>
    </row>
    <row r="4528" spans="8:8" x14ac:dyDescent="0.4">
      <c r="H4528" s="1"/>
    </row>
    <row r="4529" spans="8:8" x14ac:dyDescent="0.4">
      <c r="H4529" s="1"/>
    </row>
    <row r="4530" spans="8:8" x14ac:dyDescent="0.4">
      <c r="H4530" s="1"/>
    </row>
    <row r="4531" spans="8:8" x14ac:dyDescent="0.4">
      <c r="H4531" s="1"/>
    </row>
    <row r="4532" spans="8:8" x14ac:dyDescent="0.4">
      <c r="H4532" s="1"/>
    </row>
    <row r="4533" spans="8:8" x14ac:dyDescent="0.4">
      <c r="H4533" s="1"/>
    </row>
    <row r="4534" spans="8:8" x14ac:dyDescent="0.4">
      <c r="H4534" s="1"/>
    </row>
    <row r="4535" spans="8:8" x14ac:dyDescent="0.4">
      <c r="H4535" s="1"/>
    </row>
    <row r="4536" spans="8:8" x14ac:dyDescent="0.4">
      <c r="H4536" s="1"/>
    </row>
    <row r="4537" spans="8:8" x14ac:dyDescent="0.4">
      <c r="H4537" s="1"/>
    </row>
    <row r="4538" spans="8:8" x14ac:dyDescent="0.4">
      <c r="H4538" s="1"/>
    </row>
    <row r="4539" spans="8:8" x14ac:dyDescent="0.4">
      <c r="H4539" s="1"/>
    </row>
    <row r="4540" spans="8:8" x14ac:dyDescent="0.4">
      <c r="H4540" s="1"/>
    </row>
    <row r="4541" spans="8:8" x14ac:dyDescent="0.4">
      <c r="H4541" s="1"/>
    </row>
    <row r="4542" spans="8:8" x14ac:dyDescent="0.4">
      <c r="H4542" s="1"/>
    </row>
    <row r="4543" spans="8:8" x14ac:dyDescent="0.4">
      <c r="H4543" s="1"/>
    </row>
    <row r="4544" spans="8:8" x14ac:dyDescent="0.4">
      <c r="H4544" s="1"/>
    </row>
    <row r="4545" spans="8:8" x14ac:dyDescent="0.4">
      <c r="H4545" s="1"/>
    </row>
    <row r="4546" spans="8:8" x14ac:dyDescent="0.4">
      <c r="H4546" s="1"/>
    </row>
    <row r="4547" spans="8:8" x14ac:dyDescent="0.4">
      <c r="H4547" s="1"/>
    </row>
    <row r="4548" spans="8:8" x14ac:dyDescent="0.4">
      <c r="H4548" s="1"/>
    </row>
    <row r="4549" spans="8:8" x14ac:dyDescent="0.4">
      <c r="H4549" s="1"/>
    </row>
    <row r="4550" spans="8:8" x14ac:dyDescent="0.4">
      <c r="H4550" s="1"/>
    </row>
    <row r="4551" spans="8:8" x14ac:dyDescent="0.4">
      <c r="H4551" s="1"/>
    </row>
    <row r="4552" spans="8:8" x14ac:dyDescent="0.4">
      <c r="H4552" s="1"/>
    </row>
    <row r="4553" spans="8:8" x14ac:dyDescent="0.4">
      <c r="H4553" s="1"/>
    </row>
    <row r="4554" spans="8:8" x14ac:dyDescent="0.4">
      <c r="H4554" s="1"/>
    </row>
    <row r="4555" spans="8:8" x14ac:dyDescent="0.4">
      <c r="H4555" s="1"/>
    </row>
    <row r="4556" spans="8:8" x14ac:dyDescent="0.4">
      <c r="H4556" s="1"/>
    </row>
    <row r="4557" spans="8:8" x14ac:dyDescent="0.4">
      <c r="H4557" s="1"/>
    </row>
    <row r="4558" spans="8:8" x14ac:dyDescent="0.4">
      <c r="H4558" s="1"/>
    </row>
    <row r="4559" spans="8:8" x14ac:dyDescent="0.4">
      <c r="H4559" s="1"/>
    </row>
    <row r="4560" spans="8:8" x14ac:dyDescent="0.4">
      <c r="H4560" s="1"/>
    </row>
    <row r="4561" spans="8:8" x14ac:dyDescent="0.4">
      <c r="H4561" s="1"/>
    </row>
    <row r="4562" spans="8:8" x14ac:dyDescent="0.4">
      <c r="H4562" s="1"/>
    </row>
    <row r="4563" spans="8:8" x14ac:dyDescent="0.4">
      <c r="H4563" s="1"/>
    </row>
    <row r="4564" spans="8:8" x14ac:dyDescent="0.4">
      <c r="H4564" s="1"/>
    </row>
    <row r="4565" spans="8:8" x14ac:dyDescent="0.4">
      <c r="H4565" s="1"/>
    </row>
    <row r="4566" spans="8:8" x14ac:dyDescent="0.4">
      <c r="H4566" s="1"/>
    </row>
    <row r="4567" spans="8:8" x14ac:dyDescent="0.4">
      <c r="H4567" s="1"/>
    </row>
    <row r="4568" spans="8:8" x14ac:dyDescent="0.4">
      <c r="H4568" s="1"/>
    </row>
    <row r="4569" spans="8:8" x14ac:dyDescent="0.4">
      <c r="H4569" s="1"/>
    </row>
    <row r="4570" spans="8:8" x14ac:dyDescent="0.4">
      <c r="H4570" s="1"/>
    </row>
    <row r="4571" spans="8:8" x14ac:dyDescent="0.4">
      <c r="H4571" s="1"/>
    </row>
    <row r="4572" spans="8:8" x14ac:dyDescent="0.4">
      <c r="H4572" s="1"/>
    </row>
    <row r="4573" spans="8:8" x14ac:dyDescent="0.4">
      <c r="H4573" s="1"/>
    </row>
    <row r="4574" spans="8:8" x14ac:dyDescent="0.4">
      <c r="H4574" s="1"/>
    </row>
    <row r="4575" spans="8:8" x14ac:dyDescent="0.4">
      <c r="H4575" s="1"/>
    </row>
    <row r="4576" spans="8:8" x14ac:dyDescent="0.4">
      <c r="H4576" s="1"/>
    </row>
    <row r="4577" spans="8:8" x14ac:dyDescent="0.4">
      <c r="H4577" s="1"/>
    </row>
    <row r="4578" spans="8:8" x14ac:dyDescent="0.4">
      <c r="H4578" s="1"/>
    </row>
    <row r="4579" spans="8:8" x14ac:dyDescent="0.4">
      <c r="H4579" s="1"/>
    </row>
    <row r="4580" spans="8:8" x14ac:dyDescent="0.4">
      <c r="H4580" s="1"/>
    </row>
    <row r="4581" spans="8:8" x14ac:dyDescent="0.4">
      <c r="H4581" s="1"/>
    </row>
    <row r="4582" spans="8:8" x14ac:dyDescent="0.4">
      <c r="H4582" s="1"/>
    </row>
    <row r="4583" spans="8:8" x14ac:dyDescent="0.4">
      <c r="H4583" s="1"/>
    </row>
    <row r="4584" spans="8:8" x14ac:dyDescent="0.4">
      <c r="H4584" s="1"/>
    </row>
    <row r="4585" spans="8:8" x14ac:dyDescent="0.4">
      <c r="H4585" s="1"/>
    </row>
    <row r="4586" spans="8:8" x14ac:dyDescent="0.4">
      <c r="H4586" s="1"/>
    </row>
    <row r="4587" spans="8:8" x14ac:dyDescent="0.4">
      <c r="H4587" s="1"/>
    </row>
    <row r="4588" spans="8:8" x14ac:dyDescent="0.4">
      <c r="H4588" s="1"/>
    </row>
    <row r="4589" spans="8:8" x14ac:dyDescent="0.4">
      <c r="H4589" s="1"/>
    </row>
    <row r="4590" spans="8:8" x14ac:dyDescent="0.4">
      <c r="H4590" s="1"/>
    </row>
    <row r="4591" spans="8:8" x14ac:dyDescent="0.4">
      <c r="H4591" s="1"/>
    </row>
    <row r="4592" spans="8:8" x14ac:dyDescent="0.4">
      <c r="H4592" s="1"/>
    </row>
    <row r="4593" spans="8:8" x14ac:dyDescent="0.4">
      <c r="H4593" s="1"/>
    </row>
    <row r="4594" spans="8:8" x14ac:dyDescent="0.4">
      <c r="H4594" s="1"/>
    </row>
    <row r="4595" spans="8:8" x14ac:dyDescent="0.4">
      <c r="H4595" s="1"/>
    </row>
    <row r="4596" spans="8:8" x14ac:dyDescent="0.4">
      <c r="H4596" s="1"/>
    </row>
    <row r="4597" spans="8:8" x14ac:dyDescent="0.4">
      <c r="H4597" s="1"/>
    </row>
    <row r="4598" spans="8:8" x14ac:dyDescent="0.4">
      <c r="H4598" s="1"/>
    </row>
    <row r="4599" spans="8:8" x14ac:dyDescent="0.4">
      <c r="H4599" s="1"/>
    </row>
    <row r="4600" spans="8:8" x14ac:dyDescent="0.4">
      <c r="H4600" s="1"/>
    </row>
    <row r="4601" spans="8:8" x14ac:dyDescent="0.4">
      <c r="H4601" s="1"/>
    </row>
    <row r="4602" spans="8:8" x14ac:dyDescent="0.4">
      <c r="H4602" s="1"/>
    </row>
    <row r="4603" spans="8:8" x14ac:dyDescent="0.4">
      <c r="H4603" s="1"/>
    </row>
    <row r="4604" spans="8:8" x14ac:dyDescent="0.4">
      <c r="H4604" s="1"/>
    </row>
    <row r="4605" spans="8:8" x14ac:dyDescent="0.4">
      <c r="H4605" s="1"/>
    </row>
    <row r="4606" spans="8:8" x14ac:dyDescent="0.4">
      <c r="H4606" s="1"/>
    </row>
    <row r="4607" spans="8:8" x14ac:dyDescent="0.4">
      <c r="H4607" s="1"/>
    </row>
    <row r="4608" spans="8:8" x14ac:dyDescent="0.4">
      <c r="H4608" s="1"/>
    </row>
    <row r="4609" spans="8:8" x14ac:dyDescent="0.4">
      <c r="H4609" s="1"/>
    </row>
    <row r="4610" spans="8:8" x14ac:dyDescent="0.4">
      <c r="H4610" s="1"/>
    </row>
    <row r="4611" spans="8:8" x14ac:dyDescent="0.4">
      <c r="H4611" s="1"/>
    </row>
    <row r="4612" spans="8:8" x14ac:dyDescent="0.4">
      <c r="H4612" s="1"/>
    </row>
    <row r="4613" spans="8:8" x14ac:dyDescent="0.4">
      <c r="H4613" s="1"/>
    </row>
    <row r="4614" spans="8:8" x14ac:dyDescent="0.4">
      <c r="H4614" s="1"/>
    </row>
    <row r="4615" spans="8:8" x14ac:dyDescent="0.4">
      <c r="H4615" s="1"/>
    </row>
    <row r="4616" spans="8:8" x14ac:dyDescent="0.4">
      <c r="H4616" s="1"/>
    </row>
    <row r="4617" spans="8:8" x14ac:dyDescent="0.4">
      <c r="H4617" s="1"/>
    </row>
    <row r="4618" spans="8:8" x14ac:dyDescent="0.4">
      <c r="H4618" s="1"/>
    </row>
    <row r="4619" spans="8:8" x14ac:dyDescent="0.4">
      <c r="H4619" s="1"/>
    </row>
    <row r="4620" spans="8:8" x14ac:dyDescent="0.4">
      <c r="H4620" s="1"/>
    </row>
    <row r="4621" spans="8:8" x14ac:dyDescent="0.4">
      <c r="H4621" s="1"/>
    </row>
    <row r="4622" spans="8:8" x14ac:dyDescent="0.4">
      <c r="H4622" s="1"/>
    </row>
    <row r="4623" spans="8:8" x14ac:dyDescent="0.4">
      <c r="H4623" s="1"/>
    </row>
    <row r="4624" spans="8:8" x14ac:dyDescent="0.4">
      <c r="H4624" s="1"/>
    </row>
    <row r="4625" spans="8:8" x14ac:dyDescent="0.4">
      <c r="H4625" s="1"/>
    </row>
    <row r="4626" spans="8:8" x14ac:dyDescent="0.4">
      <c r="H4626" s="1"/>
    </row>
    <row r="4627" spans="8:8" x14ac:dyDescent="0.4">
      <c r="H4627" s="1"/>
    </row>
    <row r="4628" spans="8:8" x14ac:dyDescent="0.4">
      <c r="H4628" s="1"/>
    </row>
    <row r="4629" spans="8:8" x14ac:dyDescent="0.4">
      <c r="H4629" s="1"/>
    </row>
    <row r="4630" spans="8:8" x14ac:dyDescent="0.4">
      <c r="H4630" s="1"/>
    </row>
    <row r="4631" spans="8:8" x14ac:dyDescent="0.4">
      <c r="H4631" s="1"/>
    </row>
    <row r="4632" spans="8:8" x14ac:dyDescent="0.4">
      <c r="H4632" s="1"/>
    </row>
    <row r="4633" spans="8:8" x14ac:dyDescent="0.4">
      <c r="H4633" s="1"/>
    </row>
    <row r="4634" spans="8:8" x14ac:dyDescent="0.4">
      <c r="H4634" s="1"/>
    </row>
    <row r="4635" spans="8:8" x14ac:dyDescent="0.4">
      <c r="H4635" s="1"/>
    </row>
    <row r="4636" spans="8:8" x14ac:dyDescent="0.4">
      <c r="H4636" s="1"/>
    </row>
    <row r="4637" spans="8:8" x14ac:dyDescent="0.4">
      <c r="H4637" s="1"/>
    </row>
    <row r="4638" spans="8:8" x14ac:dyDescent="0.4">
      <c r="H4638" s="1"/>
    </row>
    <row r="4639" spans="8:8" x14ac:dyDescent="0.4">
      <c r="H4639" s="1"/>
    </row>
    <row r="4640" spans="8:8" x14ac:dyDescent="0.4">
      <c r="H4640" s="1"/>
    </row>
    <row r="4641" spans="8:8" x14ac:dyDescent="0.4">
      <c r="H4641" s="1"/>
    </row>
    <row r="4642" spans="8:8" x14ac:dyDescent="0.4">
      <c r="H4642" s="1"/>
    </row>
    <row r="4643" spans="8:8" x14ac:dyDescent="0.4">
      <c r="H4643" s="1"/>
    </row>
    <row r="4644" spans="8:8" x14ac:dyDescent="0.4">
      <c r="H4644" s="1"/>
    </row>
    <row r="4645" spans="8:8" x14ac:dyDescent="0.4">
      <c r="H4645" s="1"/>
    </row>
    <row r="4646" spans="8:8" x14ac:dyDescent="0.4">
      <c r="H4646" s="1"/>
    </row>
    <row r="4647" spans="8:8" x14ac:dyDescent="0.4">
      <c r="H4647" s="1"/>
    </row>
    <row r="4648" spans="8:8" x14ac:dyDescent="0.4">
      <c r="H4648" s="1"/>
    </row>
    <row r="4649" spans="8:8" x14ac:dyDescent="0.4">
      <c r="H4649" s="1"/>
    </row>
    <row r="4650" spans="8:8" x14ac:dyDescent="0.4">
      <c r="H4650" s="1"/>
    </row>
    <row r="4651" spans="8:8" x14ac:dyDescent="0.4">
      <c r="H4651" s="1"/>
    </row>
    <row r="4652" spans="8:8" x14ac:dyDescent="0.4">
      <c r="H4652" s="1"/>
    </row>
    <row r="4653" spans="8:8" x14ac:dyDescent="0.4">
      <c r="H4653" s="1"/>
    </row>
    <row r="4654" spans="8:8" x14ac:dyDescent="0.4">
      <c r="H4654" s="1"/>
    </row>
    <row r="4655" spans="8:8" x14ac:dyDescent="0.4">
      <c r="H4655" s="1"/>
    </row>
    <row r="4656" spans="8:8" x14ac:dyDescent="0.4">
      <c r="H4656" s="1"/>
    </row>
    <row r="4657" spans="8:8" x14ac:dyDescent="0.4">
      <c r="H4657" s="1"/>
    </row>
    <row r="4658" spans="8:8" x14ac:dyDescent="0.4">
      <c r="H4658" s="1"/>
    </row>
    <row r="4659" spans="8:8" x14ac:dyDescent="0.4">
      <c r="H4659" s="1"/>
    </row>
    <row r="4660" spans="8:8" x14ac:dyDescent="0.4">
      <c r="H4660" s="1"/>
    </row>
    <row r="4661" spans="8:8" x14ac:dyDescent="0.4">
      <c r="H4661" s="1"/>
    </row>
    <row r="4662" spans="8:8" x14ac:dyDescent="0.4">
      <c r="H4662" s="1"/>
    </row>
    <row r="4663" spans="8:8" x14ac:dyDescent="0.4">
      <c r="H4663" s="1"/>
    </row>
    <row r="4664" spans="8:8" x14ac:dyDescent="0.4">
      <c r="H4664" s="1"/>
    </row>
    <row r="4665" spans="8:8" x14ac:dyDescent="0.4">
      <c r="H4665" s="1"/>
    </row>
    <row r="4666" spans="8:8" x14ac:dyDescent="0.4">
      <c r="H4666" s="1"/>
    </row>
    <row r="4667" spans="8:8" x14ac:dyDescent="0.4">
      <c r="H4667" s="1"/>
    </row>
    <row r="4668" spans="8:8" x14ac:dyDescent="0.4">
      <c r="H4668" s="1"/>
    </row>
    <row r="4669" spans="8:8" x14ac:dyDescent="0.4">
      <c r="H4669" s="1"/>
    </row>
    <row r="4670" spans="8:8" x14ac:dyDescent="0.4">
      <c r="H4670" s="1"/>
    </row>
    <row r="4671" spans="8:8" x14ac:dyDescent="0.4">
      <c r="H4671" s="1"/>
    </row>
    <row r="4672" spans="8:8" x14ac:dyDescent="0.4">
      <c r="H4672" s="1"/>
    </row>
    <row r="4673" spans="8:8" x14ac:dyDescent="0.4">
      <c r="H4673" s="1"/>
    </row>
    <row r="4674" spans="8:8" x14ac:dyDescent="0.4">
      <c r="H4674" s="1"/>
    </row>
    <row r="4675" spans="8:8" x14ac:dyDescent="0.4">
      <c r="H4675" s="1"/>
    </row>
    <row r="4676" spans="8:8" x14ac:dyDescent="0.4">
      <c r="H4676" s="1"/>
    </row>
    <row r="4677" spans="8:8" x14ac:dyDescent="0.4">
      <c r="H4677" s="1"/>
    </row>
    <row r="4678" spans="8:8" x14ac:dyDescent="0.4">
      <c r="H4678" s="1"/>
    </row>
    <row r="4679" spans="8:8" x14ac:dyDescent="0.4">
      <c r="H4679" s="1"/>
    </row>
    <row r="4680" spans="8:8" x14ac:dyDescent="0.4">
      <c r="H4680" s="1"/>
    </row>
    <row r="4681" spans="8:8" x14ac:dyDescent="0.4">
      <c r="H4681" s="1"/>
    </row>
    <row r="4682" spans="8:8" x14ac:dyDescent="0.4">
      <c r="H4682" s="1"/>
    </row>
    <row r="4683" spans="8:8" x14ac:dyDescent="0.4">
      <c r="H4683" s="1"/>
    </row>
    <row r="4684" spans="8:8" x14ac:dyDescent="0.4">
      <c r="H4684" s="1"/>
    </row>
    <row r="4685" spans="8:8" x14ac:dyDescent="0.4">
      <c r="H4685" s="1"/>
    </row>
    <row r="4686" spans="8:8" x14ac:dyDescent="0.4">
      <c r="H4686" s="1"/>
    </row>
    <row r="4687" spans="8:8" x14ac:dyDescent="0.4">
      <c r="H4687" s="1"/>
    </row>
    <row r="4688" spans="8:8" x14ac:dyDescent="0.4">
      <c r="H4688" s="1"/>
    </row>
    <row r="4689" spans="8:8" x14ac:dyDescent="0.4">
      <c r="H4689" s="1"/>
    </row>
    <row r="4690" spans="8:8" x14ac:dyDescent="0.4">
      <c r="H4690" s="1"/>
    </row>
    <row r="4691" spans="8:8" x14ac:dyDescent="0.4">
      <c r="H4691" s="1"/>
    </row>
    <row r="4692" spans="8:8" x14ac:dyDescent="0.4">
      <c r="H4692" s="1"/>
    </row>
    <row r="4693" spans="8:8" x14ac:dyDescent="0.4">
      <c r="H4693" s="1"/>
    </row>
    <row r="4694" spans="8:8" x14ac:dyDescent="0.4">
      <c r="H4694" s="1"/>
    </row>
    <row r="4695" spans="8:8" x14ac:dyDescent="0.4">
      <c r="H4695" s="1"/>
    </row>
    <row r="4696" spans="8:8" x14ac:dyDescent="0.4">
      <c r="H4696" s="1"/>
    </row>
    <row r="4697" spans="8:8" x14ac:dyDescent="0.4">
      <c r="H4697" s="1"/>
    </row>
    <row r="4698" spans="8:8" x14ac:dyDescent="0.4">
      <c r="H4698" s="1"/>
    </row>
    <row r="4699" spans="8:8" x14ac:dyDescent="0.4">
      <c r="H4699" s="1"/>
    </row>
    <row r="4700" spans="8:8" x14ac:dyDescent="0.4">
      <c r="H4700" s="1"/>
    </row>
    <row r="4701" spans="8:8" x14ac:dyDescent="0.4">
      <c r="H4701" s="1"/>
    </row>
    <row r="4702" spans="8:8" x14ac:dyDescent="0.4">
      <c r="H4702" s="1"/>
    </row>
    <row r="4703" spans="8:8" x14ac:dyDescent="0.4">
      <c r="H4703" s="1"/>
    </row>
    <row r="4704" spans="8:8" x14ac:dyDescent="0.4">
      <c r="H4704" s="1"/>
    </row>
    <row r="4705" spans="8:8" x14ac:dyDescent="0.4">
      <c r="H4705" s="1"/>
    </row>
    <row r="4706" spans="8:8" x14ac:dyDescent="0.4">
      <c r="H4706" s="1"/>
    </row>
    <row r="4707" spans="8:8" x14ac:dyDescent="0.4">
      <c r="H4707" s="1"/>
    </row>
    <row r="4708" spans="8:8" x14ac:dyDescent="0.4">
      <c r="H4708" s="1"/>
    </row>
    <row r="4709" spans="8:8" x14ac:dyDescent="0.4">
      <c r="H4709" s="1"/>
    </row>
    <row r="4710" spans="8:8" x14ac:dyDescent="0.4">
      <c r="H4710" s="1"/>
    </row>
    <row r="4711" spans="8:8" x14ac:dyDescent="0.4">
      <c r="H4711" s="1"/>
    </row>
    <row r="4712" spans="8:8" x14ac:dyDescent="0.4">
      <c r="H4712" s="1"/>
    </row>
    <row r="4713" spans="8:8" x14ac:dyDescent="0.4">
      <c r="H4713" s="1"/>
    </row>
    <row r="4714" spans="8:8" x14ac:dyDescent="0.4">
      <c r="H4714" s="1"/>
    </row>
    <row r="4715" spans="8:8" x14ac:dyDescent="0.4">
      <c r="H4715" s="1"/>
    </row>
    <row r="4716" spans="8:8" x14ac:dyDescent="0.4">
      <c r="H4716" s="1"/>
    </row>
    <row r="4717" spans="8:8" x14ac:dyDescent="0.4">
      <c r="H4717" s="1"/>
    </row>
    <row r="4718" spans="8:8" x14ac:dyDescent="0.4">
      <c r="H4718" s="1"/>
    </row>
    <row r="4719" spans="8:8" x14ac:dyDescent="0.4">
      <c r="H4719" s="1"/>
    </row>
    <row r="4720" spans="8:8" x14ac:dyDescent="0.4">
      <c r="H4720" s="1"/>
    </row>
    <row r="4721" spans="8:8" x14ac:dyDescent="0.4">
      <c r="H4721" s="1"/>
    </row>
    <row r="4722" spans="8:8" x14ac:dyDescent="0.4">
      <c r="H4722" s="1"/>
    </row>
    <row r="4723" spans="8:8" x14ac:dyDescent="0.4">
      <c r="H4723" s="1"/>
    </row>
    <row r="4724" spans="8:8" x14ac:dyDescent="0.4">
      <c r="H4724" s="1"/>
    </row>
    <row r="4725" spans="8:8" x14ac:dyDescent="0.4">
      <c r="H4725" s="1"/>
    </row>
    <row r="4726" spans="8:8" x14ac:dyDescent="0.4">
      <c r="H4726" s="1"/>
    </row>
    <row r="4727" spans="8:8" x14ac:dyDescent="0.4">
      <c r="H4727" s="1"/>
    </row>
    <row r="4728" spans="8:8" x14ac:dyDescent="0.4">
      <c r="H4728" s="1"/>
    </row>
    <row r="4729" spans="8:8" x14ac:dyDescent="0.4">
      <c r="H4729" s="1"/>
    </row>
    <row r="4730" spans="8:8" x14ac:dyDescent="0.4">
      <c r="H4730" s="1"/>
    </row>
    <row r="4731" spans="8:8" x14ac:dyDescent="0.4">
      <c r="H4731" s="1"/>
    </row>
    <row r="4732" spans="8:8" x14ac:dyDescent="0.4">
      <c r="H4732" s="1"/>
    </row>
    <row r="4733" spans="8:8" x14ac:dyDescent="0.4">
      <c r="H4733" s="1"/>
    </row>
    <row r="4734" spans="8:8" x14ac:dyDescent="0.4">
      <c r="H4734" s="1"/>
    </row>
    <row r="4735" spans="8:8" x14ac:dyDescent="0.4">
      <c r="H4735" s="1"/>
    </row>
    <row r="4736" spans="8:8" x14ac:dyDescent="0.4">
      <c r="H4736" s="1"/>
    </row>
    <row r="4737" spans="8:8" x14ac:dyDescent="0.4">
      <c r="H4737" s="1"/>
    </row>
    <row r="4738" spans="8:8" x14ac:dyDescent="0.4">
      <c r="H4738" s="1"/>
    </row>
    <row r="4739" spans="8:8" x14ac:dyDescent="0.4">
      <c r="H4739" s="1"/>
    </row>
    <row r="4740" spans="8:8" x14ac:dyDescent="0.4">
      <c r="H4740" s="1"/>
    </row>
    <row r="4741" spans="8:8" x14ac:dyDescent="0.4">
      <c r="H4741" s="1"/>
    </row>
    <row r="4742" spans="8:8" x14ac:dyDescent="0.4">
      <c r="H4742" s="1"/>
    </row>
    <row r="4743" spans="8:8" x14ac:dyDescent="0.4">
      <c r="H4743" s="1"/>
    </row>
    <row r="4744" spans="8:8" x14ac:dyDescent="0.4">
      <c r="H4744" s="1"/>
    </row>
    <row r="4745" spans="8:8" x14ac:dyDescent="0.4">
      <c r="H4745" s="1"/>
    </row>
    <row r="4746" spans="8:8" x14ac:dyDescent="0.4">
      <c r="H4746" s="1"/>
    </row>
    <row r="4747" spans="8:8" x14ac:dyDescent="0.4">
      <c r="H4747" s="1"/>
    </row>
    <row r="4748" spans="8:8" x14ac:dyDescent="0.4">
      <c r="H4748" s="1"/>
    </row>
    <row r="4749" spans="8:8" x14ac:dyDescent="0.4">
      <c r="H4749" s="1"/>
    </row>
    <row r="4750" spans="8:8" x14ac:dyDescent="0.4">
      <c r="H4750" s="1"/>
    </row>
    <row r="4751" spans="8:8" x14ac:dyDescent="0.4">
      <c r="H4751" s="1"/>
    </row>
    <row r="4752" spans="8:8" x14ac:dyDescent="0.4">
      <c r="H4752" s="1"/>
    </row>
    <row r="4753" spans="8:8" x14ac:dyDescent="0.4">
      <c r="H4753" s="1"/>
    </row>
    <row r="4754" spans="8:8" x14ac:dyDescent="0.4">
      <c r="H4754" s="1"/>
    </row>
    <row r="4755" spans="8:8" x14ac:dyDescent="0.4">
      <c r="H4755" s="1"/>
    </row>
    <row r="4756" spans="8:8" x14ac:dyDescent="0.4">
      <c r="H4756" s="1"/>
    </row>
    <row r="4757" spans="8:8" x14ac:dyDescent="0.4">
      <c r="H4757" s="1"/>
    </row>
    <row r="4758" spans="8:8" x14ac:dyDescent="0.4">
      <c r="H4758" s="1"/>
    </row>
    <row r="4759" spans="8:8" x14ac:dyDescent="0.4">
      <c r="H4759" s="1"/>
    </row>
    <row r="4760" spans="8:8" x14ac:dyDescent="0.4">
      <c r="H4760" s="1"/>
    </row>
    <row r="4761" spans="8:8" x14ac:dyDescent="0.4">
      <c r="H4761" s="1"/>
    </row>
    <row r="4762" spans="8:8" x14ac:dyDescent="0.4">
      <c r="H4762" s="1"/>
    </row>
    <row r="4763" spans="8:8" x14ac:dyDescent="0.4">
      <c r="H4763" s="1"/>
    </row>
    <row r="4764" spans="8:8" x14ac:dyDescent="0.4">
      <c r="H4764" s="1"/>
    </row>
    <row r="4765" spans="8:8" x14ac:dyDescent="0.4">
      <c r="H4765" s="1"/>
    </row>
    <row r="4766" spans="8:8" x14ac:dyDescent="0.4">
      <c r="H4766" s="1"/>
    </row>
    <row r="4767" spans="8:8" x14ac:dyDescent="0.4">
      <c r="H4767" s="1"/>
    </row>
    <row r="4768" spans="8:8" x14ac:dyDescent="0.4">
      <c r="H4768" s="1"/>
    </row>
    <row r="4769" spans="8:8" x14ac:dyDescent="0.4">
      <c r="H4769" s="1"/>
    </row>
    <row r="4770" spans="8:8" x14ac:dyDescent="0.4">
      <c r="H4770" s="1"/>
    </row>
    <row r="4771" spans="8:8" x14ac:dyDescent="0.4">
      <c r="H4771" s="1"/>
    </row>
    <row r="4772" spans="8:8" x14ac:dyDescent="0.4">
      <c r="H4772" s="1"/>
    </row>
    <row r="4773" spans="8:8" x14ac:dyDescent="0.4">
      <c r="H4773" s="1"/>
    </row>
    <row r="4774" spans="8:8" x14ac:dyDescent="0.4">
      <c r="H4774" s="1"/>
    </row>
    <row r="4775" spans="8:8" x14ac:dyDescent="0.4">
      <c r="H4775" s="1"/>
    </row>
    <row r="4776" spans="8:8" x14ac:dyDescent="0.4">
      <c r="H4776" s="1"/>
    </row>
    <row r="4777" spans="8:8" x14ac:dyDescent="0.4">
      <c r="H4777" s="1"/>
    </row>
    <row r="4778" spans="8:8" x14ac:dyDescent="0.4">
      <c r="H4778" s="1"/>
    </row>
    <row r="4779" spans="8:8" x14ac:dyDescent="0.4">
      <c r="H4779" s="1"/>
    </row>
    <row r="4780" spans="8:8" x14ac:dyDescent="0.4">
      <c r="H4780" s="1"/>
    </row>
    <row r="4781" spans="8:8" x14ac:dyDescent="0.4">
      <c r="H4781" s="1"/>
    </row>
    <row r="4782" spans="8:8" x14ac:dyDescent="0.4">
      <c r="H4782" s="1"/>
    </row>
    <row r="4783" spans="8:8" x14ac:dyDescent="0.4">
      <c r="H4783" s="1"/>
    </row>
    <row r="4784" spans="8:8" x14ac:dyDescent="0.4">
      <c r="H4784" s="1"/>
    </row>
    <row r="4785" spans="8:8" x14ac:dyDescent="0.4">
      <c r="H4785" s="1"/>
    </row>
    <row r="4786" spans="8:8" x14ac:dyDescent="0.4">
      <c r="H4786" s="1"/>
    </row>
    <row r="4787" spans="8:8" x14ac:dyDescent="0.4">
      <c r="H4787" s="1"/>
    </row>
    <row r="4788" spans="8:8" x14ac:dyDescent="0.4">
      <c r="H4788" s="1"/>
    </row>
    <row r="4789" spans="8:8" x14ac:dyDescent="0.4">
      <c r="H4789" s="1"/>
    </row>
    <row r="4790" spans="8:8" x14ac:dyDescent="0.4">
      <c r="H4790" s="1"/>
    </row>
    <row r="4791" spans="8:8" x14ac:dyDescent="0.4">
      <c r="H4791" s="1"/>
    </row>
    <row r="4792" spans="8:8" x14ac:dyDescent="0.4">
      <c r="H4792" s="1"/>
    </row>
    <row r="4793" spans="8:8" x14ac:dyDescent="0.4">
      <c r="H4793" s="1"/>
    </row>
    <row r="4794" spans="8:8" x14ac:dyDescent="0.4">
      <c r="H4794" s="1"/>
    </row>
    <row r="4795" spans="8:8" x14ac:dyDescent="0.4">
      <c r="H4795" s="1"/>
    </row>
    <row r="4796" spans="8:8" x14ac:dyDescent="0.4">
      <c r="H4796" s="1"/>
    </row>
    <row r="4797" spans="8:8" x14ac:dyDescent="0.4">
      <c r="H4797" s="1"/>
    </row>
    <row r="4798" spans="8:8" x14ac:dyDescent="0.4">
      <c r="H4798" s="1"/>
    </row>
    <row r="4799" spans="8:8" x14ac:dyDescent="0.4">
      <c r="H4799" s="1"/>
    </row>
    <row r="4800" spans="8:8" x14ac:dyDescent="0.4">
      <c r="H4800" s="1"/>
    </row>
    <row r="4801" spans="8:8" x14ac:dyDescent="0.4">
      <c r="H4801" s="1"/>
    </row>
    <row r="4802" spans="8:8" x14ac:dyDescent="0.4">
      <c r="H4802" s="1"/>
    </row>
    <row r="4803" spans="8:8" x14ac:dyDescent="0.4">
      <c r="H4803" s="1"/>
    </row>
    <row r="4804" spans="8:8" x14ac:dyDescent="0.4">
      <c r="H4804" s="1"/>
    </row>
    <row r="4805" spans="8:8" x14ac:dyDescent="0.4">
      <c r="H4805" s="1"/>
    </row>
    <row r="4806" spans="8:8" x14ac:dyDescent="0.4">
      <c r="H4806" s="1"/>
    </row>
    <row r="4807" spans="8:8" x14ac:dyDescent="0.4">
      <c r="H4807" s="1"/>
    </row>
    <row r="4808" spans="8:8" x14ac:dyDescent="0.4">
      <c r="H4808" s="1"/>
    </row>
    <row r="4809" spans="8:8" x14ac:dyDescent="0.4">
      <c r="H4809" s="1"/>
    </row>
    <row r="4810" spans="8:8" x14ac:dyDescent="0.4">
      <c r="H4810" s="1"/>
    </row>
    <row r="4811" spans="8:8" x14ac:dyDescent="0.4">
      <c r="H4811" s="1"/>
    </row>
    <row r="4812" spans="8:8" x14ac:dyDescent="0.4">
      <c r="H4812" s="1"/>
    </row>
    <row r="4813" spans="8:8" x14ac:dyDescent="0.4">
      <c r="H4813" s="1"/>
    </row>
    <row r="4814" spans="8:8" x14ac:dyDescent="0.4">
      <c r="H4814" s="1"/>
    </row>
    <row r="4815" spans="8:8" x14ac:dyDescent="0.4">
      <c r="H4815" s="1"/>
    </row>
    <row r="4816" spans="8:8" x14ac:dyDescent="0.4">
      <c r="H4816" s="1"/>
    </row>
    <row r="4817" spans="8:8" x14ac:dyDescent="0.4">
      <c r="H4817" s="1"/>
    </row>
    <row r="4818" spans="8:8" x14ac:dyDescent="0.4">
      <c r="H4818" s="1"/>
    </row>
    <row r="4819" spans="8:8" x14ac:dyDescent="0.4">
      <c r="H4819" s="1"/>
    </row>
    <row r="4820" spans="8:8" x14ac:dyDescent="0.4">
      <c r="H4820" s="1"/>
    </row>
    <row r="4821" spans="8:8" x14ac:dyDescent="0.4">
      <c r="H4821" s="1"/>
    </row>
    <row r="4822" spans="8:8" x14ac:dyDescent="0.4">
      <c r="H4822" s="1"/>
    </row>
    <row r="4823" spans="8:8" x14ac:dyDescent="0.4">
      <c r="H4823" s="1"/>
    </row>
    <row r="4824" spans="8:8" x14ac:dyDescent="0.4">
      <c r="H4824" s="1"/>
    </row>
    <row r="4825" spans="8:8" x14ac:dyDescent="0.4">
      <c r="H4825" s="1"/>
    </row>
    <row r="4826" spans="8:8" x14ac:dyDescent="0.4">
      <c r="H4826" s="1"/>
    </row>
    <row r="4827" spans="8:8" x14ac:dyDescent="0.4">
      <c r="H4827" s="1"/>
    </row>
    <row r="4828" spans="8:8" x14ac:dyDescent="0.4">
      <c r="H4828" s="1"/>
    </row>
    <row r="4829" spans="8:8" x14ac:dyDescent="0.4">
      <c r="H4829" s="1"/>
    </row>
    <row r="4830" spans="8:8" x14ac:dyDescent="0.4">
      <c r="H4830" s="1"/>
    </row>
    <row r="4831" spans="8:8" x14ac:dyDescent="0.4">
      <c r="H4831" s="1"/>
    </row>
    <row r="4832" spans="8:8" x14ac:dyDescent="0.4">
      <c r="H4832" s="1"/>
    </row>
    <row r="4833" spans="8:8" x14ac:dyDescent="0.4">
      <c r="H4833" s="1"/>
    </row>
    <row r="4834" spans="8:8" x14ac:dyDescent="0.4">
      <c r="H4834" s="1"/>
    </row>
    <row r="4835" spans="8:8" x14ac:dyDescent="0.4">
      <c r="H4835" s="1"/>
    </row>
    <row r="4836" spans="8:8" x14ac:dyDescent="0.4">
      <c r="H4836" s="1"/>
    </row>
    <row r="4837" spans="8:8" x14ac:dyDescent="0.4">
      <c r="H4837" s="1"/>
    </row>
    <row r="4838" spans="8:8" x14ac:dyDescent="0.4">
      <c r="H4838" s="1"/>
    </row>
    <row r="4839" spans="8:8" x14ac:dyDescent="0.4">
      <c r="H4839" s="1"/>
    </row>
    <row r="4840" spans="8:8" x14ac:dyDescent="0.4">
      <c r="H4840" s="1"/>
    </row>
    <row r="4841" spans="8:8" x14ac:dyDescent="0.4">
      <c r="H4841" s="1"/>
    </row>
    <row r="4842" spans="8:8" x14ac:dyDescent="0.4">
      <c r="H4842" s="1"/>
    </row>
    <row r="4843" spans="8:8" x14ac:dyDescent="0.4">
      <c r="H4843" s="1"/>
    </row>
    <row r="4844" spans="8:8" x14ac:dyDescent="0.4">
      <c r="H4844" s="1"/>
    </row>
    <row r="4845" spans="8:8" x14ac:dyDescent="0.4">
      <c r="H4845" s="1"/>
    </row>
    <row r="4846" spans="8:8" x14ac:dyDescent="0.4">
      <c r="H4846" s="1"/>
    </row>
    <row r="4847" spans="8:8" x14ac:dyDescent="0.4">
      <c r="H4847" s="1"/>
    </row>
    <row r="4848" spans="8:8" x14ac:dyDescent="0.4">
      <c r="H4848" s="1"/>
    </row>
    <row r="4849" spans="8:8" x14ac:dyDescent="0.4">
      <c r="H4849" s="1"/>
    </row>
    <row r="4850" spans="8:8" x14ac:dyDescent="0.4">
      <c r="H4850" s="1"/>
    </row>
    <row r="4851" spans="8:8" x14ac:dyDescent="0.4">
      <c r="H4851" s="1"/>
    </row>
    <row r="4852" spans="8:8" x14ac:dyDescent="0.4">
      <c r="H4852" s="1"/>
    </row>
    <row r="4853" spans="8:8" x14ac:dyDescent="0.4">
      <c r="H4853" s="1"/>
    </row>
    <row r="4854" spans="8:8" x14ac:dyDescent="0.4">
      <c r="H4854" s="1"/>
    </row>
    <row r="4855" spans="8:8" x14ac:dyDescent="0.4">
      <c r="H4855" s="1"/>
    </row>
    <row r="4856" spans="8:8" x14ac:dyDescent="0.4">
      <c r="H4856" s="1"/>
    </row>
    <row r="4857" spans="8:8" x14ac:dyDescent="0.4">
      <c r="H4857" s="1"/>
    </row>
    <row r="4858" spans="8:8" x14ac:dyDescent="0.4">
      <c r="H4858" s="1"/>
    </row>
    <row r="4859" spans="8:8" x14ac:dyDescent="0.4">
      <c r="H4859" s="1"/>
    </row>
    <row r="4860" spans="8:8" x14ac:dyDescent="0.4">
      <c r="H4860" s="1"/>
    </row>
    <row r="4861" spans="8:8" x14ac:dyDescent="0.4">
      <c r="H4861" s="1"/>
    </row>
    <row r="4862" spans="8:8" x14ac:dyDescent="0.4">
      <c r="H4862" s="1"/>
    </row>
    <row r="4863" spans="8:8" x14ac:dyDescent="0.4">
      <c r="H4863" s="1"/>
    </row>
    <row r="4864" spans="8:8" x14ac:dyDescent="0.4">
      <c r="H4864" s="1"/>
    </row>
    <row r="4865" spans="8:8" x14ac:dyDescent="0.4">
      <c r="H4865" s="1"/>
    </row>
    <row r="4866" spans="8:8" x14ac:dyDescent="0.4">
      <c r="H4866" s="1"/>
    </row>
    <row r="4867" spans="8:8" x14ac:dyDescent="0.4">
      <c r="H4867" s="1"/>
    </row>
    <row r="4868" spans="8:8" x14ac:dyDescent="0.4">
      <c r="H4868" s="1"/>
    </row>
    <row r="4869" spans="8:8" x14ac:dyDescent="0.4">
      <c r="H4869" s="1"/>
    </row>
    <row r="4870" spans="8:8" x14ac:dyDescent="0.4">
      <c r="H4870" s="1"/>
    </row>
    <row r="4871" spans="8:8" x14ac:dyDescent="0.4">
      <c r="H4871" s="1"/>
    </row>
    <row r="4872" spans="8:8" x14ac:dyDescent="0.4">
      <c r="H4872" s="1"/>
    </row>
    <row r="4873" spans="8:8" x14ac:dyDescent="0.4">
      <c r="H4873" s="1"/>
    </row>
    <row r="4874" spans="8:8" x14ac:dyDescent="0.4">
      <c r="H4874" s="1"/>
    </row>
    <row r="4875" spans="8:8" x14ac:dyDescent="0.4">
      <c r="H4875" s="1"/>
    </row>
    <row r="4876" spans="8:8" x14ac:dyDescent="0.4">
      <c r="H4876" s="1"/>
    </row>
    <row r="4877" spans="8:8" x14ac:dyDescent="0.4">
      <c r="H4877" s="1"/>
    </row>
    <row r="4878" spans="8:8" x14ac:dyDescent="0.4">
      <c r="H4878" s="1"/>
    </row>
    <row r="4879" spans="8:8" x14ac:dyDescent="0.4">
      <c r="H4879" s="1"/>
    </row>
    <row r="4880" spans="8:8" x14ac:dyDescent="0.4">
      <c r="H4880" s="1"/>
    </row>
    <row r="4881" spans="8:8" x14ac:dyDescent="0.4">
      <c r="H4881" s="1"/>
    </row>
    <row r="4882" spans="8:8" x14ac:dyDescent="0.4">
      <c r="H4882" s="1"/>
    </row>
    <row r="4883" spans="8:8" x14ac:dyDescent="0.4">
      <c r="H4883" s="1"/>
    </row>
    <row r="4884" spans="8:8" x14ac:dyDescent="0.4">
      <c r="H4884" s="1"/>
    </row>
    <row r="4885" spans="8:8" x14ac:dyDescent="0.4">
      <c r="H4885" s="1"/>
    </row>
    <row r="4886" spans="8:8" x14ac:dyDescent="0.4">
      <c r="H4886" s="1"/>
    </row>
    <row r="4887" spans="8:8" x14ac:dyDescent="0.4">
      <c r="H4887" s="1"/>
    </row>
    <row r="4888" spans="8:8" x14ac:dyDescent="0.4">
      <c r="H4888" s="1"/>
    </row>
    <row r="4889" spans="8:8" x14ac:dyDescent="0.4">
      <c r="H4889" s="1"/>
    </row>
    <row r="4890" spans="8:8" x14ac:dyDescent="0.4">
      <c r="H4890" s="1"/>
    </row>
    <row r="4891" spans="8:8" x14ac:dyDescent="0.4">
      <c r="H4891" s="1"/>
    </row>
    <row r="4892" spans="8:8" x14ac:dyDescent="0.4">
      <c r="H4892" s="1"/>
    </row>
    <row r="4893" spans="8:8" x14ac:dyDescent="0.4">
      <c r="H4893" s="1"/>
    </row>
    <row r="4894" spans="8:8" x14ac:dyDescent="0.4">
      <c r="H4894" s="1"/>
    </row>
    <row r="4895" spans="8:8" x14ac:dyDescent="0.4">
      <c r="H4895" s="1"/>
    </row>
    <row r="4896" spans="8:8" x14ac:dyDescent="0.4">
      <c r="H4896" s="1"/>
    </row>
    <row r="4897" spans="8:8" x14ac:dyDescent="0.4">
      <c r="H4897" s="1"/>
    </row>
    <row r="4898" spans="8:8" x14ac:dyDescent="0.4">
      <c r="H4898" s="1"/>
    </row>
    <row r="4899" spans="8:8" x14ac:dyDescent="0.4">
      <c r="H4899" s="1"/>
    </row>
    <row r="4900" spans="8:8" x14ac:dyDescent="0.4">
      <c r="H4900" s="1"/>
    </row>
    <row r="4901" spans="8:8" x14ac:dyDescent="0.4">
      <c r="H4901" s="1"/>
    </row>
    <row r="4902" spans="8:8" x14ac:dyDescent="0.4">
      <c r="H4902" s="1"/>
    </row>
    <row r="4903" spans="8:8" x14ac:dyDescent="0.4">
      <c r="H4903" s="1"/>
    </row>
    <row r="4904" spans="8:8" x14ac:dyDescent="0.4">
      <c r="H4904" s="1"/>
    </row>
    <row r="4905" spans="8:8" x14ac:dyDescent="0.4">
      <c r="H4905" s="1"/>
    </row>
    <row r="4906" spans="8:8" x14ac:dyDescent="0.4">
      <c r="H4906" s="1"/>
    </row>
    <row r="4907" spans="8:8" x14ac:dyDescent="0.4">
      <c r="H4907" s="1"/>
    </row>
    <row r="4908" spans="8:8" x14ac:dyDescent="0.4">
      <c r="H4908" s="1"/>
    </row>
    <row r="4909" spans="8:8" x14ac:dyDescent="0.4">
      <c r="H4909" s="1"/>
    </row>
    <row r="4910" spans="8:8" x14ac:dyDescent="0.4">
      <c r="H4910" s="1"/>
    </row>
    <row r="4911" spans="8:8" x14ac:dyDescent="0.4">
      <c r="H4911" s="1"/>
    </row>
    <row r="4912" spans="8:8" x14ac:dyDescent="0.4">
      <c r="H4912" s="1"/>
    </row>
    <row r="4913" spans="8:8" x14ac:dyDescent="0.4">
      <c r="H4913" s="1"/>
    </row>
    <row r="4914" spans="8:8" x14ac:dyDescent="0.4">
      <c r="H4914" s="1"/>
    </row>
    <row r="4915" spans="8:8" x14ac:dyDescent="0.4">
      <c r="H4915" s="1"/>
    </row>
    <row r="4916" spans="8:8" x14ac:dyDescent="0.4">
      <c r="H4916" s="1"/>
    </row>
    <row r="4917" spans="8:8" x14ac:dyDescent="0.4">
      <c r="H4917" s="1"/>
    </row>
    <row r="4918" spans="8:8" x14ac:dyDescent="0.4">
      <c r="H4918" s="1"/>
    </row>
    <row r="4919" spans="8:8" x14ac:dyDescent="0.4">
      <c r="H4919" s="1"/>
    </row>
    <row r="4920" spans="8:8" x14ac:dyDescent="0.4">
      <c r="H4920" s="1"/>
    </row>
    <row r="4921" spans="8:8" x14ac:dyDescent="0.4">
      <c r="H4921" s="1"/>
    </row>
    <row r="4922" spans="8:8" x14ac:dyDescent="0.4">
      <c r="H4922" s="1"/>
    </row>
    <row r="4923" spans="8:8" x14ac:dyDescent="0.4">
      <c r="H4923" s="1"/>
    </row>
    <row r="4924" spans="8:8" x14ac:dyDescent="0.4">
      <c r="H4924" s="1"/>
    </row>
    <row r="4925" spans="8:8" x14ac:dyDescent="0.4">
      <c r="H4925" s="1"/>
    </row>
    <row r="4926" spans="8:8" x14ac:dyDescent="0.4">
      <c r="H4926" s="1"/>
    </row>
    <row r="4927" spans="8:8" x14ac:dyDescent="0.4">
      <c r="H4927" s="1"/>
    </row>
    <row r="4928" spans="8:8" x14ac:dyDescent="0.4">
      <c r="H4928" s="1"/>
    </row>
    <row r="4929" spans="8:8" x14ac:dyDescent="0.4">
      <c r="H4929" s="1"/>
    </row>
    <row r="4930" spans="8:8" x14ac:dyDescent="0.4">
      <c r="H4930" s="1"/>
    </row>
    <row r="4931" spans="8:8" x14ac:dyDescent="0.4">
      <c r="H4931" s="1"/>
    </row>
    <row r="4932" spans="8:8" x14ac:dyDescent="0.4">
      <c r="H4932" s="1"/>
    </row>
    <row r="4933" spans="8:8" x14ac:dyDescent="0.4">
      <c r="H4933" s="1"/>
    </row>
    <row r="4934" spans="8:8" x14ac:dyDescent="0.4">
      <c r="H4934" s="1"/>
    </row>
    <row r="4935" spans="8:8" x14ac:dyDescent="0.4">
      <c r="H4935" s="1"/>
    </row>
    <row r="4936" spans="8:8" x14ac:dyDescent="0.4">
      <c r="H4936" s="1"/>
    </row>
    <row r="4937" spans="8:8" x14ac:dyDescent="0.4">
      <c r="H4937" s="1"/>
    </row>
    <row r="4938" spans="8:8" x14ac:dyDescent="0.4">
      <c r="H4938" s="1"/>
    </row>
    <row r="4939" spans="8:8" x14ac:dyDescent="0.4">
      <c r="H4939" s="1"/>
    </row>
    <row r="4940" spans="8:8" x14ac:dyDescent="0.4">
      <c r="H4940" s="1"/>
    </row>
    <row r="4941" spans="8:8" x14ac:dyDescent="0.4">
      <c r="H4941" s="1"/>
    </row>
    <row r="4942" spans="8:8" x14ac:dyDescent="0.4">
      <c r="H4942" s="1"/>
    </row>
    <row r="4943" spans="8:8" x14ac:dyDescent="0.4">
      <c r="H4943" s="1"/>
    </row>
    <row r="4944" spans="8:8" x14ac:dyDescent="0.4">
      <c r="H4944" s="1"/>
    </row>
    <row r="4945" spans="8:8" x14ac:dyDescent="0.4">
      <c r="H4945" s="1"/>
    </row>
    <row r="4946" spans="8:8" x14ac:dyDescent="0.4">
      <c r="H4946" s="1"/>
    </row>
    <row r="4947" spans="8:8" x14ac:dyDescent="0.4">
      <c r="H4947" s="1"/>
    </row>
    <row r="4948" spans="8:8" x14ac:dyDescent="0.4">
      <c r="H4948" s="1"/>
    </row>
    <row r="4949" spans="8:8" x14ac:dyDescent="0.4">
      <c r="H4949" s="1"/>
    </row>
    <row r="4950" spans="8:8" x14ac:dyDescent="0.4">
      <c r="H4950" s="1"/>
    </row>
    <row r="4951" spans="8:8" x14ac:dyDescent="0.4">
      <c r="H4951" s="1"/>
    </row>
    <row r="4952" spans="8:8" x14ac:dyDescent="0.4">
      <c r="H4952" s="1"/>
    </row>
    <row r="4953" spans="8:8" x14ac:dyDescent="0.4">
      <c r="H4953" s="1"/>
    </row>
    <row r="4954" spans="8:8" x14ac:dyDescent="0.4">
      <c r="H4954" s="1"/>
    </row>
    <row r="4955" spans="8:8" x14ac:dyDescent="0.4">
      <c r="H4955" s="1"/>
    </row>
    <row r="4956" spans="8:8" x14ac:dyDescent="0.4">
      <c r="H4956" s="1"/>
    </row>
    <row r="4957" spans="8:8" x14ac:dyDescent="0.4">
      <c r="H4957" s="1"/>
    </row>
    <row r="4958" spans="8:8" x14ac:dyDescent="0.4">
      <c r="H4958" s="1"/>
    </row>
    <row r="4959" spans="8:8" x14ac:dyDescent="0.4">
      <c r="H4959" s="1"/>
    </row>
    <row r="4960" spans="8:8" x14ac:dyDescent="0.4">
      <c r="H4960" s="1"/>
    </row>
    <row r="4961" spans="8:8" x14ac:dyDescent="0.4">
      <c r="H4961" s="1"/>
    </row>
    <row r="4962" spans="8:8" x14ac:dyDescent="0.4">
      <c r="H4962" s="1"/>
    </row>
    <row r="4963" spans="8:8" x14ac:dyDescent="0.4">
      <c r="H4963" s="1"/>
    </row>
    <row r="4964" spans="8:8" x14ac:dyDescent="0.4">
      <c r="H4964" s="1"/>
    </row>
    <row r="4965" spans="8:8" x14ac:dyDescent="0.4">
      <c r="H4965" s="1"/>
    </row>
    <row r="4966" spans="8:8" x14ac:dyDescent="0.4">
      <c r="H4966" s="1"/>
    </row>
    <row r="4967" spans="8:8" x14ac:dyDescent="0.4">
      <c r="H4967" s="1"/>
    </row>
    <row r="4968" spans="8:8" x14ac:dyDescent="0.4">
      <c r="H4968" s="1"/>
    </row>
    <row r="4969" spans="8:8" x14ac:dyDescent="0.4">
      <c r="H4969" s="1"/>
    </row>
    <row r="4970" spans="8:8" x14ac:dyDescent="0.4">
      <c r="H4970" s="1"/>
    </row>
    <row r="4971" spans="8:8" x14ac:dyDescent="0.4">
      <c r="H4971" s="1"/>
    </row>
    <row r="4972" spans="8:8" x14ac:dyDescent="0.4">
      <c r="H4972" s="1"/>
    </row>
    <row r="4973" spans="8:8" x14ac:dyDescent="0.4">
      <c r="H4973" s="1"/>
    </row>
    <row r="4974" spans="8:8" x14ac:dyDescent="0.4">
      <c r="H4974" s="1"/>
    </row>
    <row r="4975" spans="8:8" x14ac:dyDescent="0.4">
      <c r="H4975" s="1"/>
    </row>
    <row r="4976" spans="8:8" x14ac:dyDescent="0.4">
      <c r="H4976" s="1"/>
    </row>
    <row r="4977" spans="8:8" x14ac:dyDescent="0.4">
      <c r="H4977" s="1"/>
    </row>
    <row r="4978" spans="8:8" x14ac:dyDescent="0.4">
      <c r="H4978" s="1"/>
    </row>
    <row r="4979" spans="8:8" x14ac:dyDescent="0.4">
      <c r="H4979" s="1"/>
    </row>
    <row r="4980" spans="8:8" x14ac:dyDescent="0.4">
      <c r="H4980" s="1"/>
    </row>
    <row r="4981" spans="8:8" x14ac:dyDescent="0.4">
      <c r="H4981" s="1"/>
    </row>
    <row r="4982" spans="8:8" x14ac:dyDescent="0.4">
      <c r="H4982" s="1"/>
    </row>
    <row r="4983" spans="8:8" x14ac:dyDescent="0.4">
      <c r="H4983" s="1"/>
    </row>
    <row r="4984" spans="8:8" x14ac:dyDescent="0.4">
      <c r="H4984" s="1"/>
    </row>
    <row r="4985" spans="8:8" x14ac:dyDescent="0.4">
      <c r="H4985" s="1"/>
    </row>
    <row r="4986" spans="8:8" x14ac:dyDescent="0.4">
      <c r="H4986" s="1"/>
    </row>
    <row r="4987" spans="8:8" x14ac:dyDescent="0.4">
      <c r="H4987" s="1"/>
    </row>
    <row r="4988" spans="8:8" x14ac:dyDescent="0.4">
      <c r="H4988" s="1"/>
    </row>
    <row r="4989" spans="8:8" x14ac:dyDescent="0.4">
      <c r="H4989" s="1"/>
    </row>
    <row r="4990" spans="8:8" x14ac:dyDescent="0.4">
      <c r="H4990" s="1"/>
    </row>
    <row r="4991" spans="8:8" x14ac:dyDescent="0.4">
      <c r="H4991" s="1"/>
    </row>
    <row r="4992" spans="8:8" x14ac:dyDescent="0.4">
      <c r="H4992" s="1"/>
    </row>
    <row r="4993" spans="8:8" x14ac:dyDescent="0.4">
      <c r="H4993" s="1"/>
    </row>
    <row r="4994" spans="8:8" x14ac:dyDescent="0.4">
      <c r="H4994" s="1"/>
    </row>
    <row r="4995" spans="8:8" x14ac:dyDescent="0.4">
      <c r="H4995" s="1"/>
    </row>
    <row r="4996" spans="8:8" x14ac:dyDescent="0.4">
      <c r="H4996" s="1"/>
    </row>
    <row r="4997" spans="8:8" x14ac:dyDescent="0.4">
      <c r="H4997" s="1"/>
    </row>
    <row r="4998" spans="8:8" x14ac:dyDescent="0.4">
      <c r="H4998" s="1"/>
    </row>
    <row r="4999" spans="8:8" x14ac:dyDescent="0.4">
      <c r="H4999" s="1"/>
    </row>
    <row r="5000" spans="8:8" x14ac:dyDescent="0.4">
      <c r="H5000" s="1"/>
    </row>
    <row r="5001" spans="8:8" x14ac:dyDescent="0.4">
      <c r="H5001" s="1"/>
    </row>
    <row r="5002" spans="8:8" x14ac:dyDescent="0.4">
      <c r="H5002" s="1"/>
    </row>
    <row r="5003" spans="8:8" x14ac:dyDescent="0.4">
      <c r="H5003" s="1"/>
    </row>
    <row r="5004" spans="8:8" x14ac:dyDescent="0.4">
      <c r="H5004" s="1"/>
    </row>
    <row r="5005" spans="8:8" x14ac:dyDescent="0.4">
      <c r="H5005" s="1"/>
    </row>
    <row r="5006" spans="8:8" x14ac:dyDescent="0.4">
      <c r="H5006" s="1"/>
    </row>
    <row r="5007" spans="8:8" x14ac:dyDescent="0.4">
      <c r="H5007" s="1"/>
    </row>
    <row r="5008" spans="8:8" x14ac:dyDescent="0.4">
      <c r="H5008" s="1"/>
    </row>
    <row r="5009" spans="8:8" x14ac:dyDescent="0.4">
      <c r="H5009" s="1"/>
    </row>
    <row r="5010" spans="8:8" x14ac:dyDescent="0.4">
      <c r="H5010" s="1"/>
    </row>
    <row r="5011" spans="8:8" x14ac:dyDescent="0.4">
      <c r="H5011" s="1"/>
    </row>
    <row r="5012" spans="8:8" x14ac:dyDescent="0.4">
      <c r="H5012" s="1"/>
    </row>
    <row r="5013" spans="8:8" x14ac:dyDescent="0.4">
      <c r="H5013" s="1"/>
    </row>
    <row r="5014" spans="8:8" x14ac:dyDescent="0.4">
      <c r="H5014" s="1"/>
    </row>
    <row r="5015" spans="8:8" x14ac:dyDescent="0.4">
      <c r="H5015" s="1"/>
    </row>
    <row r="5016" spans="8:8" x14ac:dyDescent="0.4">
      <c r="H5016" s="1"/>
    </row>
    <row r="5017" spans="8:8" x14ac:dyDescent="0.4">
      <c r="H5017" s="1"/>
    </row>
    <row r="5018" spans="8:8" x14ac:dyDescent="0.4">
      <c r="H5018" s="1"/>
    </row>
    <row r="5019" spans="8:8" x14ac:dyDescent="0.4">
      <c r="H5019" s="1"/>
    </row>
    <row r="5020" spans="8:8" x14ac:dyDescent="0.4">
      <c r="H5020" s="1"/>
    </row>
    <row r="5021" spans="8:8" x14ac:dyDescent="0.4">
      <c r="H5021" s="1"/>
    </row>
    <row r="5022" spans="8:8" x14ac:dyDescent="0.4">
      <c r="H5022" s="1"/>
    </row>
    <row r="5023" spans="8:8" x14ac:dyDescent="0.4">
      <c r="H5023" s="1"/>
    </row>
    <row r="5024" spans="8:8" x14ac:dyDescent="0.4">
      <c r="H5024" s="1"/>
    </row>
    <row r="5025" spans="8:8" x14ac:dyDescent="0.4">
      <c r="H5025" s="1"/>
    </row>
    <row r="5026" spans="8:8" x14ac:dyDescent="0.4">
      <c r="H5026" s="1"/>
    </row>
    <row r="5027" spans="8:8" x14ac:dyDescent="0.4">
      <c r="H5027" s="1"/>
    </row>
    <row r="5028" spans="8:8" x14ac:dyDescent="0.4">
      <c r="H5028" s="1"/>
    </row>
    <row r="5029" spans="8:8" x14ac:dyDescent="0.4">
      <c r="H5029" s="1"/>
    </row>
    <row r="5030" spans="8:8" x14ac:dyDescent="0.4">
      <c r="H5030" s="1"/>
    </row>
    <row r="5031" spans="8:8" x14ac:dyDescent="0.4">
      <c r="H5031" s="1"/>
    </row>
    <row r="5032" spans="8:8" x14ac:dyDescent="0.4">
      <c r="H5032" s="1"/>
    </row>
    <row r="5033" spans="8:8" x14ac:dyDescent="0.4">
      <c r="H5033" s="1"/>
    </row>
    <row r="5034" spans="8:8" x14ac:dyDescent="0.4">
      <c r="H5034" s="1"/>
    </row>
    <row r="5035" spans="8:8" x14ac:dyDescent="0.4">
      <c r="H5035" s="1"/>
    </row>
    <row r="5036" spans="8:8" x14ac:dyDescent="0.4">
      <c r="H5036" s="1"/>
    </row>
    <row r="5037" spans="8:8" x14ac:dyDescent="0.4">
      <c r="H5037" s="1"/>
    </row>
    <row r="5038" spans="8:8" x14ac:dyDescent="0.4">
      <c r="H5038" s="1"/>
    </row>
    <row r="5039" spans="8:8" x14ac:dyDescent="0.4">
      <c r="H5039" s="1"/>
    </row>
    <row r="5040" spans="8:8" x14ac:dyDescent="0.4">
      <c r="H5040" s="1"/>
    </row>
    <row r="5041" spans="8:8" x14ac:dyDescent="0.4">
      <c r="H5041" s="1"/>
    </row>
    <row r="5042" spans="8:8" x14ac:dyDescent="0.4">
      <c r="H5042" s="1"/>
    </row>
    <row r="5043" spans="8:8" x14ac:dyDescent="0.4">
      <c r="H5043" s="1"/>
    </row>
    <row r="5044" spans="8:8" x14ac:dyDescent="0.4">
      <c r="H5044" s="1"/>
    </row>
    <row r="5045" spans="8:8" x14ac:dyDescent="0.4">
      <c r="H5045" s="1"/>
    </row>
    <row r="5046" spans="8:8" x14ac:dyDescent="0.4">
      <c r="H5046" s="1"/>
    </row>
    <row r="5047" spans="8:8" x14ac:dyDescent="0.4">
      <c r="H5047" s="1"/>
    </row>
    <row r="5048" spans="8:8" x14ac:dyDescent="0.4">
      <c r="H5048" s="1"/>
    </row>
    <row r="5049" spans="8:8" x14ac:dyDescent="0.4">
      <c r="H5049" s="1"/>
    </row>
    <row r="5050" spans="8:8" x14ac:dyDescent="0.4">
      <c r="H5050" s="1"/>
    </row>
    <row r="5051" spans="8:8" x14ac:dyDescent="0.4">
      <c r="H5051" s="1"/>
    </row>
    <row r="5052" spans="8:8" x14ac:dyDescent="0.4">
      <c r="H5052" s="1"/>
    </row>
    <row r="5053" spans="8:8" x14ac:dyDescent="0.4">
      <c r="H5053" s="1"/>
    </row>
    <row r="5054" spans="8:8" x14ac:dyDescent="0.4">
      <c r="H5054" s="1"/>
    </row>
    <row r="5055" spans="8:8" x14ac:dyDescent="0.4">
      <c r="H5055" s="1"/>
    </row>
    <row r="5056" spans="8:8" x14ac:dyDescent="0.4">
      <c r="H5056" s="1"/>
    </row>
    <row r="5057" spans="8:8" x14ac:dyDescent="0.4">
      <c r="H5057" s="1"/>
    </row>
    <row r="5058" spans="8:8" x14ac:dyDescent="0.4">
      <c r="H5058" s="1"/>
    </row>
    <row r="5059" spans="8:8" x14ac:dyDescent="0.4">
      <c r="H5059" s="1"/>
    </row>
    <row r="5060" spans="8:8" x14ac:dyDescent="0.4">
      <c r="H5060" s="1"/>
    </row>
    <row r="5061" spans="8:8" x14ac:dyDescent="0.4">
      <c r="H5061" s="1"/>
    </row>
    <row r="5062" spans="8:8" x14ac:dyDescent="0.4">
      <c r="H5062" s="1"/>
    </row>
    <row r="5063" spans="8:8" x14ac:dyDescent="0.4">
      <c r="H5063" s="1"/>
    </row>
    <row r="5064" spans="8:8" x14ac:dyDescent="0.4">
      <c r="H5064" s="1"/>
    </row>
    <row r="5065" spans="8:8" x14ac:dyDescent="0.4">
      <c r="H5065" s="1"/>
    </row>
    <row r="5066" spans="8:8" x14ac:dyDescent="0.4">
      <c r="H5066" s="1"/>
    </row>
    <row r="5067" spans="8:8" x14ac:dyDescent="0.4">
      <c r="H5067" s="1"/>
    </row>
    <row r="5068" spans="8:8" x14ac:dyDescent="0.4">
      <c r="H5068" s="1"/>
    </row>
    <row r="5069" spans="8:8" x14ac:dyDescent="0.4">
      <c r="H5069" s="1"/>
    </row>
    <row r="5070" spans="8:8" x14ac:dyDescent="0.4">
      <c r="H5070" s="1"/>
    </row>
    <row r="5071" spans="8:8" x14ac:dyDescent="0.4">
      <c r="H5071" s="1"/>
    </row>
    <row r="5072" spans="8:8" x14ac:dyDescent="0.4">
      <c r="H5072" s="1"/>
    </row>
    <row r="5073" spans="8:8" x14ac:dyDescent="0.4">
      <c r="H5073" s="1"/>
    </row>
    <row r="5074" spans="8:8" x14ac:dyDescent="0.4">
      <c r="H5074" s="1"/>
    </row>
    <row r="5075" spans="8:8" x14ac:dyDescent="0.4">
      <c r="H5075" s="1"/>
    </row>
    <row r="5076" spans="8:8" x14ac:dyDescent="0.4">
      <c r="H5076" s="1"/>
    </row>
    <row r="5077" spans="8:8" x14ac:dyDescent="0.4">
      <c r="H5077" s="1"/>
    </row>
    <row r="5078" spans="8:8" x14ac:dyDescent="0.4">
      <c r="H5078" s="1"/>
    </row>
    <row r="5079" spans="8:8" x14ac:dyDescent="0.4">
      <c r="H5079" s="1"/>
    </row>
    <row r="5080" spans="8:8" x14ac:dyDescent="0.4">
      <c r="H5080" s="1"/>
    </row>
    <row r="5081" spans="8:8" x14ac:dyDescent="0.4">
      <c r="H5081" s="1"/>
    </row>
    <row r="5082" spans="8:8" x14ac:dyDescent="0.4">
      <c r="H5082" s="1"/>
    </row>
    <row r="5083" spans="8:8" x14ac:dyDescent="0.4">
      <c r="H5083" s="1"/>
    </row>
    <row r="5084" spans="8:8" x14ac:dyDescent="0.4">
      <c r="H5084" s="1"/>
    </row>
    <row r="5085" spans="8:8" x14ac:dyDescent="0.4">
      <c r="H5085" s="1"/>
    </row>
    <row r="5086" spans="8:8" x14ac:dyDescent="0.4">
      <c r="H5086" s="1"/>
    </row>
    <row r="5087" spans="8:8" x14ac:dyDescent="0.4">
      <c r="H5087" s="1"/>
    </row>
    <row r="5088" spans="8:8" x14ac:dyDescent="0.4">
      <c r="H5088" s="1"/>
    </row>
    <row r="5089" spans="8:8" x14ac:dyDescent="0.4">
      <c r="H5089" s="1"/>
    </row>
    <row r="5090" spans="8:8" x14ac:dyDescent="0.4">
      <c r="H5090" s="1"/>
    </row>
    <row r="5091" spans="8:8" x14ac:dyDescent="0.4">
      <c r="H5091" s="1"/>
    </row>
    <row r="5092" spans="8:8" x14ac:dyDescent="0.4">
      <c r="H5092" s="1"/>
    </row>
    <row r="5093" spans="8:8" x14ac:dyDescent="0.4">
      <c r="H5093" s="1"/>
    </row>
    <row r="5094" spans="8:8" x14ac:dyDescent="0.4">
      <c r="H5094" s="1"/>
    </row>
    <row r="5095" spans="8:8" x14ac:dyDescent="0.4">
      <c r="H5095" s="1"/>
    </row>
    <row r="5096" spans="8:8" x14ac:dyDescent="0.4">
      <c r="H5096" s="1"/>
    </row>
    <row r="5097" spans="8:8" x14ac:dyDescent="0.4">
      <c r="H5097" s="1"/>
    </row>
    <row r="5098" spans="8:8" x14ac:dyDescent="0.4">
      <c r="H5098" s="1"/>
    </row>
    <row r="5099" spans="8:8" x14ac:dyDescent="0.4">
      <c r="H5099" s="1"/>
    </row>
    <row r="5100" spans="8:8" x14ac:dyDescent="0.4">
      <c r="H5100" s="1"/>
    </row>
    <row r="5101" spans="8:8" x14ac:dyDescent="0.4">
      <c r="H5101" s="1"/>
    </row>
    <row r="5102" spans="8:8" x14ac:dyDescent="0.4">
      <c r="H5102" s="1"/>
    </row>
    <row r="5103" spans="8:8" x14ac:dyDescent="0.4">
      <c r="H5103" s="1"/>
    </row>
    <row r="5104" spans="8:8" x14ac:dyDescent="0.4">
      <c r="H5104" s="1"/>
    </row>
    <row r="5105" spans="8:8" x14ac:dyDescent="0.4">
      <c r="H5105" s="1"/>
    </row>
    <row r="5106" spans="8:8" x14ac:dyDescent="0.4">
      <c r="H5106" s="1"/>
    </row>
    <row r="5107" spans="8:8" x14ac:dyDescent="0.4">
      <c r="H5107" s="1"/>
    </row>
    <row r="5108" spans="8:8" x14ac:dyDescent="0.4">
      <c r="H5108" s="1"/>
    </row>
    <row r="5109" spans="8:8" x14ac:dyDescent="0.4">
      <c r="H5109" s="1"/>
    </row>
    <row r="5110" spans="8:8" x14ac:dyDescent="0.4">
      <c r="H5110" s="1"/>
    </row>
    <row r="5111" spans="8:8" x14ac:dyDescent="0.4">
      <c r="H5111" s="1"/>
    </row>
    <row r="5112" spans="8:8" x14ac:dyDescent="0.4">
      <c r="H5112" s="1"/>
    </row>
    <row r="5113" spans="8:8" x14ac:dyDescent="0.4">
      <c r="H5113" s="1"/>
    </row>
    <row r="5114" spans="8:8" x14ac:dyDescent="0.4">
      <c r="H5114" s="1"/>
    </row>
    <row r="5115" spans="8:8" x14ac:dyDescent="0.4">
      <c r="H5115" s="1"/>
    </row>
    <row r="5116" spans="8:8" x14ac:dyDescent="0.4">
      <c r="H5116" s="1"/>
    </row>
    <row r="5117" spans="8:8" x14ac:dyDescent="0.4">
      <c r="H5117" s="1"/>
    </row>
    <row r="5118" spans="8:8" x14ac:dyDescent="0.4">
      <c r="H5118" s="1"/>
    </row>
    <row r="5119" spans="8:8" x14ac:dyDescent="0.4">
      <c r="H5119" s="1"/>
    </row>
    <row r="5120" spans="8:8" x14ac:dyDescent="0.4">
      <c r="H5120" s="1"/>
    </row>
    <row r="5121" spans="8:8" x14ac:dyDescent="0.4">
      <c r="H5121" s="1"/>
    </row>
    <row r="5122" spans="8:8" x14ac:dyDescent="0.4">
      <c r="H5122" s="1"/>
    </row>
    <row r="5123" spans="8:8" x14ac:dyDescent="0.4">
      <c r="H5123" s="1"/>
    </row>
    <row r="5124" spans="8:8" x14ac:dyDescent="0.4">
      <c r="H5124" s="1"/>
    </row>
    <row r="5125" spans="8:8" x14ac:dyDescent="0.4">
      <c r="H5125" s="1"/>
    </row>
    <row r="5126" spans="8:8" x14ac:dyDescent="0.4">
      <c r="H5126" s="1"/>
    </row>
    <row r="5127" spans="8:8" x14ac:dyDescent="0.4">
      <c r="H5127" s="1"/>
    </row>
    <row r="5128" spans="8:8" x14ac:dyDescent="0.4">
      <c r="H5128" s="1"/>
    </row>
    <row r="5129" spans="8:8" x14ac:dyDescent="0.4">
      <c r="H5129" s="1"/>
    </row>
    <row r="5130" spans="8:8" x14ac:dyDescent="0.4">
      <c r="H5130" s="1"/>
    </row>
    <row r="5131" spans="8:8" x14ac:dyDescent="0.4">
      <c r="H5131" s="1"/>
    </row>
    <row r="5132" spans="8:8" x14ac:dyDescent="0.4">
      <c r="H5132" s="1"/>
    </row>
    <row r="5133" spans="8:8" x14ac:dyDescent="0.4">
      <c r="H5133" s="1"/>
    </row>
    <row r="5134" spans="8:8" x14ac:dyDescent="0.4">
      <c r="H5134" s="1"/>
    </row>
    <row r="5135" spans="8:8" x14ac:dyDescent="0.4">
      <c r="H5135" s="1"/>
    </row>
    <row r="5136" spans="8:8" x14ac:dyDescent="0.4">
      <c r="H5136" s="1"/>
    </row>
    <row r="5137" spans="8:8" x14ac:dyDescent="0.4">
      <c r="H5137" s="1"/>
    </row>
    <row r="5138" spans="8:8" x14ac:dyDescent="0.4">
      <c r="H5138" s="1"/>
    </row>
    <row r="5139" spans="8:8" x14ac:dyDescent="0.4">
      <c r="H5139" s="1"/>
    </row>
    <row r="5140" spans="8:8" x14ac:dyDescent="0.4">
      <c r="H5140" s="1"/>
    </row>
    <row r="5141" spans="8:8" x14ac:dyDescent="0.4">
      <c r="H5141" s="1"/>
    </row>
    <row r="5142" spans="8:8" x14ac:dyDescent="0.4">
      <c r="H5142" s="1"/>
    </row>
    <row r="5143" spans="8:8" x14ac:dyDescent="0.4">
      <c r="H5143" s="1"/>
    </row>
    <row r="5144" spans="8:8" x14ac:dyDescent="0.4">
      <c r="H5144" s="1"/>
    </row>
    <row r="5145" spans="8:8" x14ac:dyDescent="0.4">
      <c r="H5145" s="1"/>
    </row>
    <row r="5146" spans="8:8" x14ac:dyDescent="0.4">
      <c r="H5146" s="1"/>
    </row>
    <row r="5147" spans="8:8" x14ac:dyDescent="0.4">
      <c r="H5147" s="1"/>
    </row>
    <row r="5148" spans="8:8" x14ac:dyDescent="0.4">
      <c r="H5148" s="1"/>
    </row>
    <row r="5149" spans="8:8" x14ac:dyDescent="0.4">
      <c r="H5149" s="1"/>
    </row>
    <row r="5150" spans="8:8" x14ac:dyDescent="0.4">
      <c r="H5150" s="1"/>
    </row>
    <row r="5151" spans="8:8" x14ac:dyDescent="0.4">
      <c r="H5151" s="1"/>
    </row>
    <row r="5152" spans="8:8" x14ac:dyDescent="0.4">
      <c r="H5152" s="1"/>
    </row>
    <row r="5153" spans="8:8" x14ac:dyDescent="0.4">
      <c r="H5153" s="1"/>
    </row>
    <row r="5154" spans="8:8" x14ac:dyDescent="0.4">
      <c r="H5154" s="1"/>
    </row>
    <row r="5155" spans="8:8" x14ac:dyDescent="0.4">
      <c r="H5155" s="1"/>
    </row>
    <row r="5156" spans="8:8" x14ac:dyDescent="0.4">
      <c r="H5156" s="1"/>
    </row>
    <row r="5157" spans="8:8" x14ac:dyDescent="0.4">
      <c r="H5157" s="1"/>
    </row>
    <row r="5158" spans="8:8" x14ac:dyDescent="0.4">
      <c r="H5158" s="1"/>
    </row>
    <row r="5159" spans="8:8" x14ac:dyDescent="0.4">
      <c r="H5159" s="1"/>
    </row>
    <row r="5160" spans="8:8" x14ac:dyDescent="0.4">
      <c r="H5160" s="1"/>
    </row>
    <row r="5161" spans="8:8" x14ac:dyDescent="0.4">
      <c r="H5161" s="1"/>
    </row>
    <row r="5162" spans="8:8" x14ac:dyDescent="0.4">
      <c r="H5162" s="1"/>
    </row>
    <row r="5163" spans="8:8" x14ac:dyDescent="0.4">
      <c r="H5163" s="1"/>
    </row>
    <row r="5164" spans="8:8" x14ac:dyDescent="0.4">
      <c r="H5164" s="1"/>
    </row>
    <row r="5165" spans="8:8" x14ac:dyDescent="0.4">
      <c r="H5165" s="1"/>
    </row>
    <row r="5166" spans="8:8" x14ac:dyDescent="0.4">
      <c r="H5166" s="1"/>
    </row>
    <row r="5167" spans="8:8" x14ac:dyDescent="0.4">
      <c r="H5167" s="1"/>
    </row>
    <row r="5168" spans="8:8" x14ac:dyDescent="0.4">
      <c r="H5168" s="1"/>
    </row>
    <row r="5169" spans="8:8" x14ac:dyDescent="0.4">
      <c r="H5169" s="1"/>
    </row>
    <row r="5170" spans="8:8" x14ac:dyDescent="0.4">
      <c r="H5170" s="1"/>
    </row>
    <row r="5171" spans="8:8" x14ac:dyDescent="0.4">
      <c r="H5171" s="1"/>
    </row>
    <row r="5172" spans="8:8" x14ac:dyDescent="0.4">
      <c r="H5172" s="1"/>
    </row>
    <row r="5173" spans="8:8" x14ac:dyDescent="0.4">
      <c r="H5173" s="1"/>
    </row>
    <row r="5174" spans="8:8" x14ac:dyDescent="0.4">
      <c r="H5174" s="1"/>
    </row>
    <row r="5175" spans="8:8" x14ac:dyDescent="0.4">
      <c r="H5175" s="1"/>
    </row>
    <row r="5176" spans="8:8" x14ac:dyDescent="0.4">
      <c r="H5176" s="1"/>
    </row>
    <row r="5177" spans="8:8" x14ac:dyDescent="0.4">
      <c r="H5177" s="1"/>
    </row>
    <row r="5178" spans="8:8" x14ac:dyDescent="0.4">
      <c r="H5178" s="1"/>
    </row>
    <row r="5179" spans="8:8" x14ac:dyDescent="0.4">
      <c r="H5179" s="1"/>
    </row>
    <row r="5180" spans="8:8" x14ac:dyDescent="0.4">
      <c r="H5180" s="1"/>
    </row>
    <row r="5181" spans="8:8" x14ac:dyDescent="0.4">
      <c r="H5181" s="1"/>
    </row>
    <row r="5182" spans="8:8" x14ac:dyDescent="0.4">
      <c r="H5182" s="1"/>
    </row>
    <row r="5183" spans="8:8" x14ac:dyDescent="0.4">
      <c r="H5183" s="1"/>
    </row>
    <row r="5184" spans="8:8" x14ac:dyDescent="0.4">
      <c r="H5184" s="1"/>
    </row>
    <row r="5185" spans="8:8" x14ac:dyDescent="0.4">
      <c r="H5185" s="1"/>
    </row>
    <row r="5186" spans="8:8" x14ac:dyDescent="0.4">
      <c r="H5186" s="1"/>
    </row>
    <row r="5187" spans="8:8" x14ac:dyDescent="0.4">
      <c r="H5187" s="1"/>
    </row>
    <row r="5188" spans="8:8" x14ac:dyDescent="0.4">
      <c r="H5188" s="1"/>
    </row>
    <row r="5189" spans="8:8" x14ac:dyDescent="0.4">
      <c r="H5189" s="1"/>
    </row>
    <row r="5190" spans="8:8" x14ac:dyDescent="0.4">
      <c r="H5190" s="1"/>
    </row>
    <row r="5191" spans="8:8" x14ac:dyDescent="0.4">
      <c r="H5191" s="1"/>
    </row>
    <row r="5192" spans="8:8" x14ac:dyDescent="0.4">
      <c r="H5192" s="1"/>
    </row>
    <row r="5193" spans="8:8" x14ac:dyDescent="0.4">
      <c r="H5193" s="1"/>
    </row>
    <row r="5194" spans="8:8" x14ac:dyDescent="0.4">
      <c r="H5194" s="1"/>
    </row>
    <row r="5195" spans="8:8" x14ac:dyDescent="0.4">
      <c r="H5195" s="1"/>
    </row>
    <row r="5196" spans="8:8" x14ac:dyDescent="0.4">
      <c r="H5196" s="1"/>
    </row>
    <row r="5197" spans="8:8" x14ac:dyDescent="0.4">
      <c r="H5197" s="1"/>
    </row>
    <row r="5198" spans="8:8" x14ac:dyDescent="0.4">
      <c r="H5198" s="1"/>
    </row>
    <row r="5199" spans="8:8" x14ac:dyDescent="0.4">
      <c r="H5199" s="1"/>
    </row>
    <row r="5200" spans="8:8" x14ac:dyDescent="0.4">
      <c r="H5200" s="1"/>
    </row>
    <row r="5201" spans="8:8" x14ac:dyDescent="0.4">
      <c r="H5201" s="1"/>
    </row>
    <row r="5202" spans="8:8" x14ac:dyDescent="0.4">
      <c r="H5202" s="1"/>
    </row>
    <row r="5203" spans="8:8" x14ac:dyDescent="0.4">
      <c r="H5203" s="1"/>
    </row>
    <row r="5204" spans="8:8" x14ac:dyDescent="0.4">
      <c r="H5204" s="1"/>
    </row>
    <row r="5205" spans="8:8" x14ac:dyDescent="0.4">
      <c r="H5205" s="1"/>
    </row>
    <row r="5206" spans="8:8" x14ac:dyDescent="0.4">
      <c r="H5206" s="1"/>
    </row>
    <row r="5207" spans="8:8" x14ac:dyDescent="0.4">
      <c r="H5207" s="1"/>
    </row>
    <row r="5208" spans="8:8" x14ac:dyDescent="0.4">
      <c r="H5208" s="1"/>
    </row>
    <row r="5209" spans="8:8" x14ac:dyDescent="0.4">
      <c r="H5209" s="1"/>
    </row>
    <row r="5210" spans="8:8" x14ac:dyDescent="0.4">
      <c r="H5210" s="1"/>
    </row>
    <row r="5211" spans="8:8" x14ac:dyDescent="0.4">
      <c r="H5211" s="1"/>
    </row>
    <row r="5212" spans="8:8" x14ac:dyDescent="0.4">
      <c r="H5212" s="1"/>
    </row>
    <row r="5213" spans="8:8" x14ac:dyDescent="0.4">
      <c r="H5213" s="1"/>
    </row>
    <row r="5214" spans="8:8" x14ac:dyDescent="0.4">
      <c r="H5214" s="1"/>
    </row>
    <row r="5215" spans="8:8" x14ac:dyDescent="0.4">
      <c r="H5215" s="1"/>
    </row>
    <row r="5216" spans="8:8" x14ac:dyDescent="0.4">
      <c r="H5216" s="1"/>
    </row>
    <row r="5217" spans="8:8" x14ac:dyDescent="0.4">
      <c r="H5217" s="1"/>
    </row>
    <row r="5218" spans="8:8" x14ac:dyDescent="0.4">
      <c r="H5218" s="1"/>
    </row>
    <row r="5219" spans="8:8" x14ac:dyDescent="0.4">
      <c r="H5219" s="1"/>
    </row>
    <row r="5220" spans="8:8" x14ac:dyDescent="0.4">
      <c r="H5220" s="1"/>
    </row>
    <row r="5221" spans="8:8" x14ac:dyDescent="0.4">
      <c r="H5221" s="1"/>
    </row>
    <row r="5222" spans="8:8" x14ac:dyDescent="0.4">
      <c r="H5222" s="1"/>
    </row>
    <row r="5223" spans="8:8" x14ac:dyDescent="0.4">
      <c r="H5223" s="1"/>
    </row>
    <row r="5224" spans="8:8" x14ac:dyDescent="0.4">
      <c r="H5224" s="1"/>
    </row>
    <row r="5225" spans="8:8" x14ac:dyDescent="0.4">
      <c r="H5225" s="1"/>
    </row>
    <row r="5226" spans="8:8" x14ac:dyDescent="0.4">
      <c r="H5226" s="1"/>
    </row>
    <row r="5227" spans="8:8" x14ac:dyDescent="0.4">
      <c r="H5227" s="1"/>
    </row>
    <row r="5228" spans="8:8" x14ac:dyDescent="0.4">
      <c r="H5228" s="1"/>
    </row>
    <row r="5229" spans="8:8" x14ac:dyDescent="0.4">
      <c r="H5229" s="1"/>
    </row>
    <row r="5230" spans="8:8" x14ac:dyDescent="0.4">
      <c r="H5230" s="1"/>
    </row>
    <row r="5231" spans="8:8" x14ac:dyDescent="0.4">
      <c r="H5231" s="1"/>
    </row>
    <row r="5232" spans="8:8" x14ac:dyDescent="0.4">
      <c r="H5232" s="1"/>
    </row>
    <row r="5233" spans="8:8" x14ac:dyDescent="0.4">
      <c r="H5233" s="1"/>
    </row>
    <row r="5234" spans="8:8" x14ac:dyDescent="0.4">
      <c r="H5234" s="1"/>
    </row>
    <row r="5235" spans="8:8" x14ac:dyDescent="0.4">
      <c r="H5235" s="1"/>
    </row>
    <row r="5236" spans="8:8" x14ac:dyDescent="0.4">
      <c r="H5236" s="1"/>
    </row>
    <row r="5237" spans="8:8" x14ac:dyDescent="0.4">
      <c r="H5237" s="1"/>
    </row>
    <row r="5238" spans="8:8" x14ac:dyDescent="0.4">
      <c r="H5238" s="1"/>
    </row>
    <row r="5239" spans="8:8" x14ac:dyDescent="0.4">
      <c r="H5239" s="1"/>
    </row>
    <row r="5240" spans="8:8" x14ac:dyDescent="0.4">
      <c r="H5240" s="1"/>
    </row>
    <row r="5241" spans="8:8" x14ac:dyDescent="0.4">
      <c r="H5241" s="1"/>
    </row>
    <row r="5242" spans="8:8" x14ac:dyDescent="0.4">
      <c r="H5242" s="1"/>
    </row>
    <row r="5243" spans="8:8" x14ac:dyDescent="0.4">
      <c r="H5243" s="1"/>
    </row>
    <row r="5244" spans="8:8" x14ac:dyDescent="0.4">
      <c r="H5244" s="1"/>
    </row>
    <row r="5245" spans="8:8" x14ac:dyDescent="0.4">
      <c r="H5245" s="1"/>
    </row>
    <row r="5246" spans="8:8" x14ac:dyDescent="0.4">
      <c r="H5246" s="1"/>
    </row>
    <row r="5247" spans="8:8" x14ac:dyDescent="0.4">
      <c r="H5247" s="1"/>
    </row>
    <row r="5248" spans="8:8" x14ac:dyDescent="0.4">
      <c r="H5248" s="1"/>
    </row>
    <row r="5249" spans="8:8" x14ac:dyDescent="0.4">
      <c r="H5249" s="1"/>
    </row>
    <row r="5250" spans="8:8" x14ac:dyDescent="0.4">
      <c r="H5250" s="1"/>
    </row>
    <row r="5251" spans="8:8" x14ac:dyDescent="0.4">
      <c r="H5251" s="1"/>
    </row>
    <row r="5252" spans="8:8" x14ac:dyDescent="0.4">
      <c r="H5252" s="1"/>
    </row>
    <row r="5253" spans="8:8" x14ac:dyDescent="0.4">
      <c r="H5253" s="1"/>
    </row>
    <row r="5254" spans="8:8" x14ac:dyDescent="0.4">
      <c r="H5254" s="1"/>
    </row>
    <row r="5255" spans="8:8" x14ac:dyDescent="0.4">
      <c r="H5255" s="1"/>
    </row>
    <row r="5256" spans="8:8" x14ac:dyDescent="0.4">
      <c r="H5256" s="1"/>
    </row>
    <row r="5257" spans="8:8" x14ac:dyDescent="0.4">
      <c r="H5257" s="1"/>
    </row>
    <row r="5258" spans="8:8" x14ac:dyDescent="0.4">
      <c r="H5258" s="1"/>
    </row>
    <row r="5259" spans="8:8" x14ac:dyDescent="0.4">
      <c r="H5259" s="1"/>
    </row>
    <row r="5260" spans="8:8" x14ac:dyDescent="0.4">
      <c r="H5260" s="1"/>
    </row>
    <row r="5261" spans="8:8" x14ac:dyDescent="0.4">
      <c r="H5261" s="1"/>
    </row>
    <row r="5262" spans="8:8" x14ac:dyDescent="0.4">
      <c r="H5262" s="1"/>
    </row>
    <row r="5263" spans="8:8" x14ac:dyDescent="0.4">
      <c r="H5263" s="1"/>
    </row>
    <row r="5264" spans="8:8" x14ac:dyDescent="0.4">
      <c r="H5264" s="1"/>
    </row>
    <row r="5265" spans="8:8" x14ac:dyDescent="0.4">
      <c r="H5265" s="1"/>
    </row>
    <row r="5266" spans="8:8" x14ac:dyDescent="0.4">
      <c r="H5266" s="1"/>
    </row>
    <row r="5267" spans="8:8" x14ac:dyDescent="0.4">
      <c r="H5267" s="1"/>
    </row>
    <row r="5268" spans="8:8" x14ac:dyDescent="0.4">
      <c r="H5268" s="1"/>
    </row>
    <row r="5269" spans="8:8" x14ac:dyDescent="0.4">
      <c r="H5269" s="1"/>
    </row>
    <row r="5270" spans="8:8" x14ac:dyDescent="0.4">
      <c r="H5270" s="1"/>
    </row>
    <row r="5271" spans="8:8" x14ac:dyDescent="0.4">
      <c r="H5271" s="1"/>
    </row>
    <row r="5272" spans="8:8" x14ac:dyDescent="0.4">
      <c r="H5272" s="1"/>
    </row>
    <row r="5273" spans="8:8" x14ac:dyDescent="0.4">
      <c r="H5273" s="1"/>
    </row>
    <row r="5274" spans="8:8" x14ac:dyDescent="0.4">
      <c r="H5274" s="1"/>
    </row>
    <row r="5275" spans="8:8" x14ac:dyDescent="0.4">
      <c r="H5275" s="1"/>
    </row>
    <row r="5276" spans="8:8" x14ac:dyDescent="0.4">
      <c r="H5276" s="1"/>
    </row>
    <row r="5277" spans="8:8" x14ac:dyDescent="0.4">
      <c r="H5277" s="1"/>
    </row>
    <row r="5278" spans="8:8" x14ac:dyDescent="0.4">
      <c r="H5278" s="1"/>
    </row>
    <row r="5279" spans="8:8" x14ac:dyDescent="0.4">
      <c r="H5279" s="1"/>
    </row>
    <row r="5280" spans="8:8" x14ac:dyDescent="0.4">
      <c r="H5280" s="1"/>
    </row>
    <row r="5281" spans="8:8" x14ac:dyDescent="0.4">
      <c r="H5281" s="1"/>
    </row>
    <row r="5282" spans="8:8" x14ac:dyDescent="0.4">
      <c r="H5282" s="1"/>
    </row>
    <row r="5283" spans="8:8" x14ac:dyDescent="0.4">
      <c r="H5283" s="1"/>
    </row>
    <row r="5284" spans="8:8" x14ac:dyDescent="0.4">
      <c r="H5284" s="1"/>
    </row>
    <row r="5285" spans="8:8" x14ac:dyDescent="0.4">
      <c r="H5285" s="1"/>
    </row>
    <row r="5286" spans="8:8" x14ac:dyDescent="0.4">
      <c r="H5286" s="1"/>
    </row>
    <row r="5287" spans="8:8" x14ac:dyDescent="0.4">
      <c r="H5287" s="1"/>
    </row>
    <row r="5288" spans="8:8" x14ac:dyDescent="0.4">
      <c r="H5288" s="1"/>
    </row>
    <row r="5289" spans="8:8" x14ac:dyDescent="0.4">
      <c r="H5289" s="1"/>
    </row>
    <row r="5290" spans="8:8" x14ac:dyDescent="0.4">
      <c r="H5290" s="1"/>
    </row>
    <row r="5291" spans="8:8" x14ac:dyDescent="0.4">
      <c r="H5291" s="1"/>
    </row>
    <row r="5292" spans="8:8" x14ac:dyDescent="0.4">
      <c r="H5292" s="1"/>
    </row>
    <row r="5293" spans="8:8" x14ac:dyDescent="0.4">
      <c r="H5293" s="1"/>
    </row>
    <row r="5294" spans="8:8" x14ac:dyDescent="0.4">
      <c r="H5294" s="1"/>
    </row>
    <row r="5295" spans="8:8" x14ac:dyDescent="0.4">
      <c r="H5295" s="1"/>
    </row>
    <row r="5296" spans="8:8" x14ac:dyDescent="0.4">
      <c r="H5296" s="1"/>
    </row>
    <row r="5297" spans="8:8" x14ac:dyDescent="0.4">
      <c r="H5297" s="1"/>
    </row>
    <row r="5298" spans="8:8" x14ac:dyDescent="0.4">
      <c r="H5298" s="1"/>
    </row>
    <row r="5299" spans="8:8" x14ac:dyDescent="0.4">
      <c r="H5299" s="1"/>
    </row>
    <row r="5300" spans="8:8" x14ac:dyDescent="0.4">
      <c r="H5300" s="1"/>
    </row>
    <row r="5301" spans="8:8" x14ac:dyDescent="0.4">
      <c r="H5301" s="1"/>
    </row>
    <row r="5302" spans="8:8" x14ac:dyDescent="0.4">
      <c r="H5302" s="1"/>
    </row>
    <row r="5303" spans="8:8" x14ac:dyDescent="0.4">
      <c r="H5303" s="1"/>
    </row>
    <row r="5304" spans="8:8" x14ac:dyDescent="0.4">
      <c r="H5304" s="1"/>
    </row>
    <row r="5305" spans="8:8" x14ac:dyDescent="0.4">
      <c r="H5305" s="1"/>
    </row>
    <row r="5306" spans="8:8" x14ac:dyDescent="0.4">
      <c r="H5306" s="1"/>
    </row>
    <row r="5307" spans="8:8" x14ac:dyDescent="0.4">
      <c r="H5307" s="1"/>
    </row>
    <row r="5308" spans="8:8" x14ac:dyDescent="0.4">
      <c r="H5308" s="1"/>
    </row>
    <row r="5309" spans="8:8" x14ac:dyDescent="0.4">
      <c r="H5309" s="1"/>
    </row>
    <row r="5310" spans="8:8" x14ac:dyDescent="0.4">
      <c r="H5310" s="1"/>
    </row>
    <row r="5311" spans="8:8" x14ac:dyDescent="0.4">
      <c r="H5311" s="1"/>
    </row>
    <row r="5312" spans="8:8" x14ac:dyDescent="0.4">
      <c r="H5312" s="1"/>
    </row>
    <row r="5313" spans="8:8" x14ac:dyDescent="0.4">
      <c r="H5313" s="1"/>
    </row>
    <row r="5314" spans="8:8" x14ac:dyDescent="0.4">
      <c r="H5314" s="1"/>
    </row>
    <row r="5315" spans="8:8" x14ac:dyDescent="0.4">
      <c r="H5315" s="1"/>
    </row>
    <row r="5316" spans="8:8" x14ac:dyDescent="0.4">
      <c r="H5316" s="1"/>
    </row>
    <row r="5317" spans="8:8" x14ac:dyDescent="0.4">
      <c r="H5317" s="1"/>
    </row>
    <row r="5318" spans="8:8" x14ac:dyDescent="0.4">
      <c r="H5318" s="1"/>
    </row>
    <row r="5319" spans="8:8" x14ac:dyDescent="0.4">
      <c r="H5319" s="1"/>
    </row>
    <row r="5320" spans="8:8" x14ac:dyDescent="0.4">
      <c r="H5320" s="1"/>
    </row>
    <row r="5321" spans="8:8" x14ac:dyDescent="0.4">
      <c r="H5321" s="1"/>
    </row>
    <row r="5322" spans="8:8" x14ac:dyDescent="0.4">
      <c r="H5322" s="1"/>
    </row>
    <row r="5323" spans="8:8" x14ac:dyDescent="0.4">
      <c r="H5323" s="1"/>
    </row>
    <row r="5324" spans="8:8" x14ac:dyDescent="0.4">
      <c r="H5324" s="1"/>
    </row>
    <row r="5325" spans="8:8" x14ac:dyDescent="0.4">
      <c r="H5325" s="1"/>
    </row>
    <row r="5326" spans="8:8" x14ac:dyDescent="0.4">
      <c r="H5326" s="1"/>
    </row>
    <row r="5327" spans="8:8" x14ac:dyDescent="0.4">
      <c r="H5327" s="1"/>
    </row>
    <row r="5328" spans="8:8" x14ac:dyDescent="0.4">
      <c r="H5328" s="1"/>
    </row>
    <row r="5329" spans="8:8" x14ac:dyDescent="0.4">
      <c r="H5329" s="1"/>
    </row>
    <row r="5330" spans="8:8" x14ac:dyDescent="0.4">
      <c r="H5330" s="1"/>
    </row>
    <row r="5331" spans="8:8" x14ac:dyDescent="0.4">
      <c r="H5331" s="1"/>
    </row>
    <row r="5332" spans="8:8" x14ac:dyDescent="0.4">
      <c r="H5332" s="1"/>
    </row>
    <row r="5333" spans="8:8" x14ac:dyDescent="0.4">
      <c r="H5333" s="1"/>
    </row>
    <row r="5334" spans="8:8" x14ac:dyDescent="0.4">
      <c r="H5334" s="1"/>
    </row>
    <row r="5335" spans="8:8" x14ac:dyDescent="0.4">
      <c r="H5335" s="1"/>
    </row>
    <row r="5336" spans="8:8" x14ac:dyDescent="0.4">
      <c r="H5336" s="1"/>
    </row>
    <row r="5337" spans="8:8" x14ac:dyDescent="0.4">
      <c r="H5337" s="1"/>
    </row>
    <row r="5338" spans="8:8" x14ac:dyDescent="0.4">
      <c r="H5338" s="1"/>
    </row>
    <row r="5339" spans="8:8" x14ac:dyDescent="0.4">
      <c r="H5339" s="1"/>
    </row>
    <row r="5340" spans="8:8" x14ac:dyDescent="0.4">
      <c r="H5340" s="1"/>
    </row>
    <row r="5341" spans="8:8" x14ac:dyDescent="0.4">
      <c r="H5341" s="1"/>
    </row>
    <row r="5342" spans="8:8" x14ac:dyDescent="0.4">
      <c r="H5342" s="1"/>
    </row>
    <row r="5343" spans="8:8" x14ac:dyDescent="0.4">
      <c r="H5343" s="1"/>
    </row>
    <row r="5344" spans="8:8" x14ac:dyDescent="0.4">
      <c r="H5344" s="1"/>
    </row>
    <row r="5345" spans="8:8" x14ac:dyDescent="0.4">
      <c r="H5345" s="1"/>
    </row>
    <row r="5346" spans="8:8" x14ac:dyDescent="0.4">
      <c r="H5346" s="1"/>
    </row>
    <row r="5347" spans="8:8" x14ac:dyDescent="0.4">
      <c r="H5347" s="1"/>
    </row>
    <row r="5348" spans="8:8" x14ac:dyDescent="0.4">
      <c r="H5348" s="1"/>
    </row>
    <row r="5349" spans="8:8" x14ac:dyDescent="0.4">
      <c r="H5349" s="1"/>
    </row>
    <row r="5350" spans="8:8" x14ac:dyDescent="0.4">
      <c r="H5350" s="1"/>
    </row>
    <row r="5351" spans="8:8" x14ac:dyDescent="0.4">
      <c r="H5351" s="1"/>
    </row>
    <row r="5352" spans="8:8" x14ac:dyDescent="0.4">
      <c r="H5352" s="1"/>
    </row>
    <row r="5353" spans="8:8" x14ac:dyDescent="0.4">
      <c r="H5353" s="1"/>
    </row>
    <row r="5354" spans="8:8" x14ac:dyDescent="0.4">
      <c r="H5354" s="1"/>
    </row>
    <row r="5355" spans="8:8" x14ac:dyDescent="0.4">
      <c r="H5355" s="1"/>
    </row>
    <row r="5356" spans="8:8" x14ac:dyDescent="0.4">
      <c r="H5356" s="1"/>
    </row>
    <row r="5357" spans="8:8" x14ac:dyDescent="0.4">
      <c r="H5357" s="1"/>
    </row>
    <row r="5358" spans="8:8" x14ac:dyDescent="0.4">
      <c r="H5358" s="1"/>
    </row>
    <row r="5359" spans="8:8" x14ac:dyDescent="0.4">
      <c r="H5359" s="1"/>
    </row>
    <row r="5360" spans="8:8" x14ac:dyDescent="0.4">
      <c r="H5360" s="1"/>
    </row>
    <row r="5361" spans="8:8" x14ac:dyDescent="0.4">
      <c r="H5361" s="1"/>
    </row>
    <row r="5362" spans="8:8" x14ac:dyDescent="0.4">
      <c r="H5362" s="1"/>
    </row>
    <row r="5363" spans="8:8" x14ac:dyDescent="0.4">
      <c r="H5363" s="1"/>
    </row>
    <row r="5364" spans="8:8" x14ac:dyDescent="0.4">
      <c r="H5364" s="1"/>
    </row>
    <row r="5365" spans="8:8" x14ac:dyDescent="0.4">
      <c r="H5365" s="1"/>
    </row>
    <row r="5366" spans="8:8" x14ac:dyDescent="0.4">
      <c r="H5366" s="1"/>
    </row>
    <row r="5367" spans="8:8" x14ac:dyDescent="0.4">
      <c r="H5367" s="1"/>
    </row>
    <row r="5368" spans="8:8" x14ac:dyDescent="0.4">
      <c r="H5368" s="1"/>
    </row>
    <row r="5369" spans="8:8" x14ac:dyDescent="0.4">
      <c r="H5369" s="1"/>
    </row>
    <row r="5370" spans="8:8" x14ac:dyDescent="0.4">
      <c r="H5370" s="1"/>
    </row>
    <row r="5371" spans="8:8" x14ac:dyDescent="0.4">
      <c r="H5371" s="1"/>
    </row>
    <row r="5372" spans="8:8" x14ac:dyDescent="0.4">
      <c r="H5372" s="1"/>
    </row>
    <row r="5373" spans="8:8" x14ac:dyDescent="0.4">
      <c r="H5373" s="1"/>
    </row>
    <row r="5374" spans="8:8" x14ac:dyDescent="0.4">
      <c r="H5374" s="1"/>
    </row>
    <row r="5375" spans="8:8" x14ac:dyDescent="0.4">
      <c r="H5375" s="1"/>
    </row>
    <row r="5376" spans="8:8" x14ac:dyDescent="0.4">
      <c r="H5376" s="1"/>
    </row>
    <row r="5377" spans="8:8" x14ac:dyDescent="0.4">
      <c r="H5377" s="1"/>
    </row>
    <row r="5378" spans="8:8" x14ac:dyDescent="0.4">
      <c r="H5378" s="1"/>
    </row>
    <row r="5379" spans="8:8" x14ac:dyDescent="0.4">
      <c r="H5379" s="1"/>
    </row>
    <row r="5380" spans="8:8" x14ac:dyDescent="0.4">
      <c r="H5380" s="1"/>
    </row>
    <row r="5381" spans="8:8" x14ac:dyDescent="0.4">
      <c r="H5381" s="1"/>
    </row>
    <row r="5382" spans="8:8" x14ac:dyDescent="0.4">
      <c r="H5382" s="1"/>
    </row>
    <row r="5383" spans="8:8" x14ac:dyDescent="0.4">
      <c r="H5383" s="1"/>
    </row>
    <row r="5384" spans="8:8" x14ac:dyDescent="0.4">
      <c r="H5384" s="1"/>
    </row>
    <row r="5385" spans="8:8" x14ac:dyDescent="0.4">
      <c r="H5385" s="1"/>
    </row>
    <row r="5386" spans="8:8" x14ac:dyDescent="0.4">
      <c r="H5386" s="1"/>
    </row>
    <row r="5387" spans="8:8" x14ac:dyDescent="0.4">
      <c r="H5387" s="1"/>
    </row>
    <row r="5388" spans="8:8" x14ac:dyDescent="0.4">
      <c r="H5388" s="1"/>
    </row>
    <row r="5389" spans="8:8" x14ac:dyDescent="0.4">
      <c r="H5389" s="1"/>
    </row>
    <row r="5390" spans="8:8" x14ac:dyDescent="0.4">
      <c r="H5390" s="1"/>
    </row>
    <row r="5391" spans="8:8" x14ac:dyDescent="0.4">
      <c r="H5391" s="1"/>
    </row>
    <row r="5392" spans="8:8" x14ac:dyDescent="0.4">
      <c r="H5392" s="1"/>
    </row>
    <row r="5393" spans="8:8" x14ac:dyDescent="0.4">
      <c r="H5393" s="1"/>
    </row>
    <row r="5394" spans="8:8" x14ac:dyDescent="0.4">
      <c r="H5394" s="1"/>
    </row>
    <row r="5395" spans="8:8" x14ac:dyDescent="0.4">
      <c r="H5395" s="1"/>
    </row>
    <row r="5396" spans="8:8" x14ac:dyDescent="0.4">
      <c r="H5396" s="1"/>
    </row>
    <row r="5397" spans="8:8" x14ac:dyDescent="0.4">
      <c r="H5397" s="1"/>
    </row>
    <row r="5398" spans="8:8" x14ac:dyDescent="0.4">
      <c r="H5398" s="1"/>
    </row>
    <row r="5399" spans="8:8" x14ac:dyDescent="0.4">
      <c r="H5399" s="1"/>
    </row>
    <row r="5400" spans="8:8" x14ac:dyDescent="0.4">
      <c r="H5400" s="1"/>
    </row>
    <row r="5401" spans="8:8" x14ac:dyDescent="0.4">
      <c r="H5401" s="1"/>
    </row>
    <row r="5402" spans="8:8" x14ac:dyDescent="0.4">
      <c r="H5402" s="1"/>
    </row>
    <row r="5403" spans="8:8" x14ac:dyDescent="0.4">
      <c r="H5403" s="1"/>
    </row>
    <row r="5404" spans="8:8" x14ac:dyDescent="0.4">
      <c r="H5404" s="1"/>
    </row>
    <row r="5405" spans="8:8" x14ac:dyDescent="0.4">
      <c r="H5405" s="1"/>
    </row>
    <row r="5406" spans="8:8" x14ac:dyDescent="0.4">
      <c r="H5406" s="1"/>
    </row>
    <row r="5407" spans="8:8" x14ac:dyDescent="0.4">
      <c r="H5407" s="1"/>
    </row>
    <row r="5408" spans="8:8" x14ac:dyDescent="0.4">
      <c r="H5408" s="1"/>
    </row>
    <row r="5409" spans="8:8" x14ac:dyDescent="0.4">
      <c r="H5409" s="1"/>
    </row>
    <row r="5410" spans="8:8" x14ac:dyDescent="0.4">
      <c r="H5410" s="1"/>
    </row>
    <row r="5411" spans="8:8" x14ac:dyDescent="0.4">
      <c r="H5411" s="1"/>
    </row>
    <row r="5412" spans="8:8" x14ac:dyDescent="0.4">
      <c r="H5412" s="1"/>
    </row>
    <row r="5413" spans="8:8" x14ac:dyDescent="0.4">
      <c r="H5413" s="1"/>
    </row>
    <row r="5414" spans="8:8" x14ac:dyDescent="0.4">
      <c r="H5414" s="1"/>
    </row>
    <row r="5415" spans="8:8" x14ac:dyDescent="0.4">
      <c r="H5415" s="1"/>
    </row>
    <row r="5416" spans="8:8" x14ac:dyDescent="0.4">
      <c r="H5416" s="1"/>
    </row>
    <row r="5417" spans="8:8" x14ac:dyDescent="0.4">
      <c r="H5417" s="1"/>
    </row>
    <row r="5418" spans="8:8" x14ac:dyDescent="0.4">
      <c r="H5418" s="1"/>
    </row>
    <row r="5419" spans="8:8" x14ac:dyDescent="0.4">
      <c r="H5419" s="1"/>
    </row>
    <row r="5420" spans="8:8" x14ac:dyDescent="0.4">
      <c r="H5420" s="1"/>
    </row>
    <row r="5421" spans="8:8" x14ac:dyDescent="0.4">
      <c r="H5421" s="1"/>
    </row>
    <row r="5422" spans="8:8" x14ac:dyDescent="0.4">
      <c r="H5422" s="1"/>
    </row>
    <row r="5423" spans="8:8" x14ac:dyDescent="0.4">
      <c r="H5423" s="1"/>
    </row>
    <row r="5424" spans="8:8" x14ac:dyDescent="0.4">
      <c r="H5424" s="1"/>
    </row>
    <row r="5425" spans="8:8" x14ac:dyDescent="0.4">
      <c r="H5425" s="1"/>
    </row>
    <row r="5426" spans="8:8" x14ac:dyDescent="0.4">
      <c r="H5426" s="1"/>
    </row>
    <row r="5427" spans="8:8" x14ac:dyDescent="0.4">
      <c r="H5427" s="1"/>
    </row>
    <row r="5428" spans="8:8" x14ac:dyDescent="0.4">
      <c r="H5428" s="1"/>
    </row>
    <row r="5429" spans="8:8" x14ac:dyDescent="0.4">
      <c r="H5429" s="1"/>
    </row>
    <row r="5430" spans="8:8" x14ac:dyDescent="0.4">
      <c r="H5430" s="1"/>
    </row>
    <row r="5431" spans="8:8" x14ac:dyDescent="0.4">
      <c r="H5431" s="1"/>
    </row>
    <row r="5432" spans="8:8" x14ac:dyDescent="0.4">
      <c r="H5432" s="1"/>
    </row>
    <row r="5433" spans="8:8" x14ac:dyDescent="0.4">
      <c r="H5433" s="1"/>
    </row>
    <row r="5434" spans="8:8" x14ac:dyDescent="0.4">
      <c r="H5434" s="1"/>
    </row>
    <row r="5435" spans="8:8" x14ac:dyDescent="0.4">
      <c r="H5435" s="1"/>
    </row>
    <row r="5436" spans="8:8" x14ac:dyDescent="0.4">
      <c r="H5436" s="1"/>
    </row>
    <row r="5437" spans="8:8" x14ac:dyDescent="0.4">
      <c r="H5437" s="1"/>
    </row>
    <row r="5438" spans="8:8" x14ac:dyDescent="0.4">
      <c r="H5438" s="1"/>
    </row>
    <row r="5439" spans="8:8" x14ac:dyDescent="0.4">
      <c r="H5439" s="1"/>
    </row>
    <row r="5440" spans="8:8" x14ac:dyDescent="0.4">
      <c r="H5440" s="1"/>
    </row>
    <row r="5441" spans="8:8" x14ac:dyDescent="0.4">
      <c r="H5441" s="1"/>
    </row>
    <row r="5442" spans="8:8" x14ac:dyDescent="0.4">
      <c r="H5442" s="1"/>
    </row>
    <row r="5443" spans="8:8" x14ac:dyDescent="0.4">
      <c r="H5443" s="1"/>
    </row>
    <row r="5444" spans="8:8" x14ac:dyDescent="0.4">
      <c r="H5444" s="1"/>
    </row>
    <row r="5445" spans="8:8" x14ac:dyDescent="0.4">
      <c r="H5445" s="1"/>
    </row>
    <row r="5446" spans="8:8" x14ac:dyDescent="0.4">
      <c r="H5446" s="1"/>
    </row>
    <row r="5447" spans="8:8" x14ac:dyDescent="0.4">
      <c r="H5447" s="1"/>
    </row>
    <row r="5448" spans="8:8" x14ac:dyDescent="0.4">
      <c r="H5448" s="1"/>
    </row>
    <row r="5449" spans="8:8" x14ac:dyDescent="0.4">
      <c r="H5449" s="1"/>
    </row>
    <row r="5450" spans="8:8" x14ac:dyDescent="0.4">
      <c r="H5450" s="1"/>
    </row>
    <row r="5451" spans="8:8" x14ac:dyDescent="0.4">
      <c r="H5451" s="1"/>
    </row>
    <row r="5452" spans="8:8" x14ac:dyDescent="0.4">
      <c r="H5452" s="1"/>
    </row>
    <row r="5453" spans="8:8" x14ac:dyDescent="0.4">
      <c r="H5453" s="1"/>
    </row>
    <row r="5454" spans="8:8" x14ac:dyDescent="0.4">
      <c r="H5454" s="1"/>
    </row>
    <row r="5455" spans="8:8" x14ac:dyDescent="0.4">
      <c r="H5455" s="1"/>
    </row>
    <row r="5456" spans="8:8" x14ac:dyDescent="0.4">
      <c r="H5456" s="1"/>
    </row>
    <row r="5457" spans="8:8" x14ac:dyDescent="0.4">
      <c r="H5457" s="1"/>
    </row>
    <row r="5458" spans="8:8" x14ac:dyDescent="0.4">
      <c r="H5458" s="1"/>
    </row>
    <row r="5459" spans="8:8" x14ac:dyDescent="0.4">
      <c r="H5459" s="1"/>
    </row>
    <row r="5460" spans="8:8" x14ac:dyDescent="0.4">
      <c r="H5460" s="1"/>
    </row>
    <row r="5461" spans="8:8" x14ac:dyDescent="0.4">
      <c r="H5461" s="1"/>
    </row>
    <row r="5462" spans="8:8" x14ac:dyDescent="0.4">
      <c r="H5462" s="1"/>
    </row>
    <row r="5463" spans="8:8" x14ac:dyDescent="0.4">
      <c r="H5463" s="1"/>
    </row>
    <row r="5464" spans="8:8" x14ac:dyDescent="0.4">
      <c r="H5464" s="1"/>
    </row>
    <row r="5465" spans="8:8" x14ac:dyDescent="0.4">
      <c r="H5465" s="1"/>
    </row>
    <row r="5466" spans="8:8" x14ac:dyDescent="0.4">
      <c r="H5466" s="1"/>
    </row>
    <row r="5467" spans="8:8" x14ac:dyDescent="0.4">
      <c r="H5467" s="1"/>
    </row>
    <row r="5468" spans="8:8" x14ac:dyDescent="0.4">
      <c r="H5468" s="1"/>
    </row>
    <row r="5469" spans="8:8" x14ac:dyDescent="0.4">
      <c r="H5469" s="1"/>
    </row>
    <row r="5470" spans="8:8" x14ac:dyDescent="0.4">
      <c r="H5470" s="1"/>
    </row>
    <row r="5471" spans="8:8" x14ac:dyDescent="0.4">
      <c r="H5471" s="1"/>
    </row>
    <row r="5472" spans="8:8" x14ac:dyDescent="0.4">
      <c r="H5472" s="1"/>
    </row>
    <row r="5473" spans="8:8" x14ac:dyDescent="0.4">
      <c r="H5473" s="1"/>
    </row>
    <row r="5474" spans="8:8" x14ac:dyDescent="0.4">
      <c r="H5474" s="1"/>
    </row>
    <row r="5475" spans="8:8" x14ac:dyDescent="0.4">
      <c r="H5475" s="1"/>
    </row>
    <row r="5476" spans="8:8" x14ac:dyDescent="0.4">
      <c r="H5476" s="1"/>
    </row>
    <row r="5477" spans="8:8" x14ac:dyDescent="0.4">
      <c r="H5477" s="1"/>
    </row>
    <row r="5478" spans="8:8" x14ac:dyDescent="0.4">
      <c r="H5478" s="1"/>
    </row>
    <row r="5479" spans="8:8" x14ac:dyDescent="0.4">
      <c r="H5479" s="1"/>
    </row>
    <row r="5480" spans="8:8" x14ac:dyDescent="0.4">
      <c r="H5480" s="1"/>
    </row>
    <row r="5481" spans="8:8" x14ac:dyDescent="0.4">
      <c r="H5481" s="1"/>
    </row>
    <row r="5482" spans="8:8" x14ac:dyDescent="0.4">
      <c r="H5482" s="1"/>
    </row>
    <row r="5483" spans="8:8" x14ac:dyDescent="0.4">
      <c r="H5483" s="1"/>
    </row>
    <row r="5484" spans="8:8" x14ac:dyDescent="0.4">
      <c r="H5484" s="1"/>
    </row>
    <row r="5485" spans="8:8" x14ac:dyDescent="0.4">
      <c r="H5485" s="1"/>
    </row>
    <row r="5486" spans="8:8" x14ac:dyDescent="0.4">
      <c r="H5486" s="1"/>
    </row>
    <row r="5487" spans="8:8" x14ac:dyDescent="0.4">
      <c r="H5487" s="1"/>
    </row>
    <row r="5488" spans="8:8" x14ac:dyDescent="0.4">
      <c r="H5488" s="1"/>
    </row>
    <row r="5489" spans="8:8" x14ac:dyDescent="0.4">
      <c r="H5489" s="1"/>
    </row>
    <row r="5490" spans="8:8" x14ac:dyDescent="0.4">
      <c r="H5490" s="1"/>
    </row>
    <row r="5491" spans="8:8" x14ac:dyDescent="0.4">
      <c r="H5491" s="1"/>
    </row>
    <row r="5492" spans="8:8" x14ac:dyDescent="0.4">
      <c r="H5492" s="1"/>
    </row>
    <row r="5493" spans="8:8" x14ac:dyDescent="0.4">
      <c r="H5493" s="1"/>
    </row>
    <row r="5494" spans="8:8" x14ac:dyDescent="0.4">
      <c r="H5494" s="1"/>
    </row>
    <row r="5495" spans="8:8" x14ac:dyDescent="0.4">
      <c r="H5495" s="1"/>
    </row>
    <row r="5496" spans="8:8" x14ac:dyDescent="0.4">
      <c r="H5496" s="1"/>
    </row>
    <row r="5497" spans="8:8" x14ac:dyDescent="0.4">
      <c r="H5497" s="1"/>
    </row>
    <row r="5498" spans="8:8" x14ac:dyDescent="0.4">
      <c r="H5498" s="1"/>
    </row>
    <row r="5499" spans="8:8" x14ac:dyDescent="0.4">
      <c r="H5499" s="1"/>
    </row>
    <row r="5500" spans="8:8" x14ac:dyDescent="0.4">
      <c r="H5500" s="1"/>
    </row>
    <row r="5501" spans="8:8" x14ac:dyDescent="0.4">
      <c r="H5501" s="1"/>
    </row>
    <row r="5502" spans="8:8" x14ac:dyDescent="0.4">
      <c r="H5502" s="1"/>
    </row>
    <row r="5503" spans="8:8" x14ac:dyDescent="0.4">
      <c r="H5503" s="1"/>
    </row>
    <row r="5504" spans="8:8" x14ac:dyDescent="0.4">
      <c r="H5504" s="1"/>
    </row>
    <row r="5505" spans="8:8" x14ac:dyDescent="0.4">
      <c r="H5505" s="1"/>
    </row>
    <row r="5506" spans="8:8" x14ac:dyDescent="0.4">
      <c r="H5506" s="1"/>
    </row>
    <row r="5507" spans="8:8" x14ac:dyDescent="0.4">
      <c r="H5507" s="1"/>
    </row>
    <row r="5508" spans="8:8" x14ac:dyDescent="0.4">
      <c r="H5508" s="1"/>
    </row>
    <row r="5509" spans="8:8" x14ac:dyDescent="0.4">
      <c r="H5509" s="1"/>
    </row>
    <row r="5510" spans="8:8" x14ac:dyDescent="0.4">
      <c r="H5510" s="1"/>
    </row>
    <row r="5511" spans="8:8" x14ac:dyDescent="0.4">
      <c r="H5511" s="1"/>
    </row>
    <row r="5512" spans="8:8" x14ac:dyDescent="0.4">
      <c r="H5512" s="1"/>
    </row>
    <row r="5513" spans="8:8" x14ac:dyDescent="0.4">
      <c r="H5513" s="1"/>
    </row>
    <row r="5514" spans="8:8" x14ac:dyDescent="0.4">
      <c r="H5514" s="1"/>
    </row>
    <row r="5515" spans="8:8" x14ac:dyDescent="0.4">
      <c r="H5515" s="1"/>
    </row>
    <row r="5516" spans="8:8" x14ac:dyDescent="0.4">
      <c r="H5516" s="1"/>
    </row>
    <row r="5517" spans="8:8" x14ac:dyDescent="0.4">
      <c r="H5517" s="1"/>
    </row>
    <row r="5518" spans="8:8" x14ac:dyDescent="0.4">
      <c r="H5518" s="1"/>
    </row>
    <row r="5519" spans="8:8" x14ac:dyDescent="0.4">
      <c r="H5519" s="1"/>
    </row>
    <row r="5520" spans="8:8" x14ac:dyDescent="0.4">
      <c r="H5520" s="1"/>
    </row>
    <row r="5521" spans="8:8" x14ac:dyDescent="0.4">
      <c r="H5521" s="1"/>
    </row>
    <row r="5522" spans="8:8" x14ac:dyDescent="0.4">
      <c r="H5522" s="1"/>
    </row>
    <row r="5523" spans="8:8" x14ac:dyDescent="0.4">
      <c r="H5523" s="1"/>
    </row>
    <row r="5524" spans="8:8" x14ac:dyDescent="0.4">
      <c r="H5524" s="1"/>
    </row>
    <row r="5525" spans="8:8" x14ac:dyDescent="0.4">
      <c r="H5525" s="1"/>
    </row>
    <row r="5526" spans="8:8" x14ac:dyDescent="0.4">
      <c r="H5526" s="1"/>
    </row>
    <row r="5527" spans="8:8" x14ac:dyDescent="0.4">
      <c r="H5527" s="1"/>
    </row>
    <row r="5528" spans="8:8" x14ac:dyDescent="0.4">
      <c r="H5528" s="1"/>
    </row>
    <row r="5529" spans="8:8" x14ac:dyDescent="0.4">
      <c r="H5529" s="1"/>
    </row>
    <row r="5530" spans="8:8" x14ac:dyDescent="0.4">
      <c r="H5530" s="1"/>
    </row>
    <row r="5531" spans="8:8" x14ac:dyDescent="0.4">
      <c r="H5531" s="1"/>
    </row>
    <row r="5532" spans="8:8" x14ac:dyDescent="0.4">
      <c r="H5532" s="1"/>
    </row>
    <row r="5533" spans="8:8" x14ac:dyDescent="0.4">
      <c r="H5533" s="1"/>
    </row>
    <row r="5534" spans="8:8" x14ac:dyDescent="0.4">
      <c r="H5534" s="1"/>
    </row>
    <row r="5535" spans="8:8" x14ac:dyDescent="0.4">
      <c r="H5535" s="1"/>
    </row>
    <row r="5536" spans="8:8" x14ac:dyDescent="0.4">
      <c r="H5536" s="1"/>
    </row>
    <row r="5537" spans="8:8" x14ac:dyDescent="0.4">
      <c r="H5537" s="1"/>
    </row>
    <row r="5538" spans="8:8" x14ac:dyDescent="0.4">
      <c r="H5538" s="1"/>
    </row>
    <row r="5539" spans="8:8" x14ac:dyDescent="0.4">
      <c r="H5539" s="1"/>
    </row>
    <row r="5540" spans="8:8" x14ac:dyDescent="0.4">
      <c r="H5540" s="1"/>
    </row>
    <row r="5541" spans="8:8" x14ac:dyDescent="0.4">
      <c r="H5541" s="1"/>
    </row>
    <row r="5542" spans="8:8" x14ac:dyDescent="0.4">
      <c r="H5542" s="1"/>
    </row>
    <row r="5543" spans="8:8" x14ac:dyDescent="0.4">
      <c r="H5543" s="1"/>
    </row>
    <row r="5544" spans="8:8" x14ac:dyDescent="0.4">
      <c r="H5544" s="1"/>
    </row>
    <row r="5545" spans="8:8" x14ac:dyDescent="0.4">
      <c r="H5545" s="1"/>
    </row>
    <row r="5546" spans="8:8" x14ac:dyDescent="0.4">
      <c r="H5546" s="1"/>
    </row>
    <row r="5547" spans="8:8" x14ac:dyDescent="0.4">
      <c r="H5547" s="1"/>
    </row>
    <row r="5548" spans="8:8" x14ac:dyDescent="0.4">
      <c r="H5548" s="1"/>
    </row>
    <row r="5549" spans="8:8" x14ac:dyDescent="0.4">
      <c r="H5549" s="1"/>
    </row>
    <row r="5550" spans="8:8" x14ac:dyDescent="0.4">
      <c r="H5550" s="1"/>
    </row>
    <row r="5551" spans="8:8" x14ac:dyDescent="0.4">
      <c r="H5551" s="1"/>
    </row>
    <row r="5552" spans="8:8" x14ac:dyDescent="0.4">
      <c r="H5552" s="1"/>
    </row>
    <row r="5553" spans="8:8" x14ac:dyDescent="0.4">
      <c r="H5553" s="1"/>
    </row>
    <row r="5554" spans="8:8" x14ac:dyDescent="0.4">
      <c r="H5554" s="1"/>
    </row>
    <row r="5555" spans="8:8" x14ac:dyDescent="0.4">
      <c r="H5555" s="1"/>
    </row>
    <row r="5556" spans="8:8" x14ac:dyDescent="0.4">
      <c r="H5556" s="1"/>
    </row>
    <row r="5557" spans="8:8" x14ac:dyDescent="0.4">
      <c r="H5557" s="1"/>
    </row>
    <row r="5558" spans="8:8" x14ac:dyDescent="0.4">
      <c r="H5558" s="1"/>
    </row>
    <row r="5559" spans="8:8" x14ac:dyDescent="0.4">
      <c r="H5559" s="1"/>
    </row>
    <row r="5560" spans="8:8" x14ac:dyDescent="0.4">
      <c r="H5560" s="1"/>
    </row>
    <row r="5561" spans="8:8" x14ac:dyDescent="0.4">
      <c r="H5561" s="1"/>
    </row>
    <row r="5562" spans="8:8" x14ac:dyDescent="0.4">
      <c r="H5562" s="1"/>
    </row>
    <row r="5563" spans="8:8" x14ac:dyDescent="0.4">
      <c r="H5563" s="1"/>
    </row>
    <row r="5564" spans="8:8" x14ac:dyDescent="0.4">
      <c r="H5564" s="1"/>
    </row>
    <row r="5565" spans="8:8" x14ac:dyDescent="0.4">
      <c r="H5565" s="1"/>
    </row>
    <row r="5566" spans="8:8" x14ac:dyDescent="0.4">
      <c r="H5566" s="1"/>
    </row>
    <row r="5567" spans="8:8" x14ac:dyDescent="0.4">
      <c r="H5567" s="1"/>
    </row>
    <row r="5568" spans="8:8" x14ac:dyDescent="0.4">
      <c r="H5568" s="1"/>
    </row>
    <row r="5569" spans="8:8" x14ac:dyDescent="0.4">
      <c r="H5569" s="1"/>
    </row>
    <row r="5570" spans="8:8" x14ac:dyDescent="0.4">
      <c r="H5570" s="1"/>
    </row>
    <row r="5571" spans="8:8" x14ac:dyDescent="0.4">
      <c r="H5571" s="1"/>
    </row>
    <row r="5572" spans="8:8" x14ac:dyDescent="0.4">
      <c r="H5572" s="1"/>
    </row>
    <row r="5573" spans="8:8" x14ac:dyDescent="0.4">
      <c r="H5573" s="1"/>
    </row>
    <row r="5574" spans="8:8" x14ac:dyDescent="0.4">
      <c r="H5574" s="1"/>
    </row>
    <row r="5575" spans="8:8" x14ac:dyDescent="0.4">
      <c r="H5575" s="1"/>
    </row>
    <row r="5576" spans="8:8" x14ac:dyDescent="0.4">
      <c r="H5576" s="1"/>
    </row>
    <row r="5577" spans="8:8" x14ac:dyDescent="0.4">
      <c r="H5577" s="1"/>
    </row>
    <row r="5578" spans="8:8" x14ac:dyDescent="0.4">
      <c r="H5578" s="1"/>
    </row>
    <row r="5579" spans="8:8" x14ac:dyDescent="0.4">
      <c r="H5579" s="1"/>
    </row>
    <row r="5580" spans="8:8" x14ac:dyDescent="0.4">
      <c r="H5580" s="1"/>
    </row>
    <row r="5581" spans="8:8" x14ac:dyDescent="0.4">
      <c r="H5581" s="1"/>
    </row>
    <row r="5582" spans="8:8" x14ac:dyDescent="0.4">
      <c r="H5582" s="1"/>
    </row>
    <row r="5583" spans="8:8" x14ac:dyDescent="0.4">
      <c r="H5583" s="1"/>
    </row>
    <row r="5584" spans="8:8" x14ac:dyDescent="0.4">
      <c r="H5584" s="1"/>
    </row>
    <row r="5585" spans="8:8" x14ac:dyDescent="0.4">
      <c r="H5585" s="1"/>
    </row>
    <row r="5586" spans="8:8" x14ac:dyDescent="0.4">
      <c r="H5586" s="1"/>
    </row>
    <row r="5587" spans="8:8" x14ac:dyDescent="0.4">
      <c r="H5587" s="1"/>
    </row>
    <row r="5588" spans="8:8" x14ac:dyDescent="0.4">
      <c r="H5588" s="1"/>
    </row>
    <row r="5589" spans="8:8" x14ac:dyDescent="0.4">
      <c r="H5589" s="1"/>
    </row>
    <row r="5590" spans="8:8" x14ac:dyDescent="0.4">
      <c r="H5590" s="1"/>
    </row>
    <row r="5591" spans="8:8" x14ac:dyDescent="0.4">
      <c r="H5591" s="1"/>
    </row>
    <row r="5592" spans="8:8" x14ac:dyDescent="0.4">
      <c r="H5592" s="1"/>
    </row>
    <row r="5593" spans="8:8" x14ac:dyDescent="0.4">
      <c r="H5593" s="1"/>
    </row>
    <row r="5594" spans="8:8" x14ac:dyDescent="0.4">
      <c r="H5594" s="1"/>
    </row>
    <row r="5595" spans="8:8" x14ac:dyDescent="0.4">
      <c r="H5595" s="1"/>
    </row>
    <row r="5596" spans="8:8" x14ac:dyDescent="0.4">
      <c r="H5596" s="1"/>
    </row>
    <row r="5597" spans="8:8" x14ac:dyDescent="0.4">
      <c r="H5597" s="1"/>
    </row>
    <row r="5598" spans="8:8" x14ac:dyDescent="0.4">
      <c r="H5598" s="1"/>
    </row>
    <row r="5599" spans="8:8" x14ac:dyDescent="0.4">
      <c r="H5599" s="1"/>
    </row>
    <row r="5600" spans="8:8" x14ac:dyDescent="0.4">
      <c r="H5600" s="1"/>
    </row>
    <row r="5601" spans="8:8" x14ac:dyDescent="0.4">
      <c r="H5601" s="1"/>
    </row>
    <row r="5602" spans="8:8" x14ac:dyDescent="0.4">
      <c r="H5602" s="1"/>
    </row>
    <row r="5603" spans="8:8" x14ac:dyDescent="0.4">
      <c r="H5603" s="1"/>
    </row>
    <row r="5604" spans="8:8" x14ac:dyDescent="0.4">
      <c r="H5604" s="1"/>
    </row>
    <row r="5605" spans="8:8" x14ac:dyDescent="0.4">
      <c r="H5605" s="1"/>
    </row>
    <row r="5606" spans="8:8" x14ac:dyDescent="0.4">
      <c r="H5606" s="1"/>
    </row>
    <row r="5607" spans="8:8" x14ac:dyDescent="0.4">
      <c r="H5607" s="1"/>
    </row>
    <row r="5608" spans="8:8" x14ac:dyDescent="0.4">
      <c r="H5608" s="1"/>
    </row>
    <row r="5609" spans="8:8" x14ac:dyDescent="0.4">
      <c r="H5609" s="1"/>
    </row>
    <row r="5610" spans="8:8" x14ac:dyDescent="0.4">
      <c r="H5610" s="1"/>
    </row>
    <row r="5611" spans="8:8" x14ac:dyDescent="0.4">
      <c r="H5611" s="1"/>
    </row>
    <row r="5612" spans="8:8" x14ac:dyDescent="0.4">
      <c r="H5612" s="1"/>
    </row>
    <row r="5613" spans="8:8" x14ac:dyDescent="0.4">
      <c r="H5613" s="1"/>
    </row>
    <row r="5614" spans="8:8" x14ac:dyDescent="0.4">
      <c r="H5614" s="1"/>
    </row>
    <row r="5615" spans="8:8" x14ac:dyDescent="0.4">
      <c r="H5615" s="1"/>
    </row>
    <row r="5616" spans="8:8" x14ac:dyDescent="0.4">
      <c r="H5616" s="1"/>
    </row>
    <row r="5617" spans="8:8" x14ac:dyDescent="0.4">
      <c r="H5617" s="1"/>
    </row>
    <row r="5618" spans="8:8" x14ac:dyDescent="0.4">
      <c r="H5618" s="1"/>
    </row>
    <row r="5619" spans="8:8" x14ac:dyDescent="0.4">
      <c r="H5619" s="1"/>
    </row>
    <row r="5620" spans="8:8" x14ac:dyDescent="0.4">
      <c r="H5620" s="1"/>
    </row>
    <row r="5621" spans="8:8" x14ac:dyDescent="0.4">
      <c r="H5621" s="1"/>
    </row>
    <row r="5622" spans="8:8" x14ac:dyDescent="0.4">
      <c r="H5622" s="1"/>
    </row>
    <row r="5623" spans="8:8" x14ac:dyDescent="0.4">
      <c r="H5623" s="1"/>
    </row>
    <row r="5624" spans="8:8" x14ac:dyDescent="0.4">
      <c r="H5624" s="1"/>
    </row>
    <row r="5625" spans="8:8" x14ac:dyDescent="0.4">
      <c r="H5625" s="1"/>
    </row>
    <row r="5626" spans="8:8" x14ac:dyDescent="0.4">
      <c r="H5626" s="1"/>
    </row>
    <row r="5627" spans="8:8" x14ac:dyDescent="0.4">
      <c r="H5627" s="1"/>
    </row>
    <row r="5628" spans="8:8" x14ac:dyDescent="0.4">
      <c r="H5628" s="1"/>
    </row>
    <row r="5629" spans="8:8" x14ac:dyDescent="0.4">
      <c r="H5629" s="1"/>
    </row>
    <row r="5630" spans="8:8" x14ac:dyDescent="0.4">
      <c r="H5630" s="1"/>
    </row>
    <row r="5631" spans="8:8" x14ac:dyDescent="0.4">
      <c r="H5631" s="1"/>
    </row>
    <row r="5632" spans="8:8" x14ac:dyDescent="0.4">
      <c r="H5632" s="1"/>
    </row>
    <row r="5633" spans="8:8" x14ac:dyDescent="0.4">
      <c r="H5633" s="1"/>
    </row>
    <row r="5634" spans="8:8" x14ac:dyDescent="0.4">
      <c r="H5634" s="1"/>
    </row>
    <row r="5635" spans="8:8" x14ac:dyDescent="0.4">
      <c r="H5635" s="1"/>
    </row>
    <row r="5636" spans="8:8" x14ac:dyDescent="0.4">
      <c r="H5636" s="1"/>
    </row>
    <row r="5637" spans="8:8" x14ac:dyDescent="0.4">
      <c r="H5637" s="1"/>
    </row>
    <row r="5638" spans="8:8" x14ac:dyDescent="0.4">
      <c r="H5638" s="1"/>
    </row>
    <row r="5639" spans="8:8" x14ac:dyDescent="0.4">
      <c r="H5639" s="1"/>
    </row>
    <row r="5640" spans="8:8" x14ac:dyDescent="0.4">
      <c r="H5640" s="1"/>
    </row>
    <row r="5641" spans="8:8" x14ac:dyDescent="0.4">
      <c r="H5641" s="1"/>
    </row>
    <row r="5642" spans="8:8" x14ac:dyDescent="0.4">
      <c r="H5642" s="1"/>
    </row>
    <row r="5643" spans="8:8" x14ac:dyDescent="0.4">
      <c r="H5643" s="1"/>
    </row>
    <row r="5644" spans="8:8" x14ac:dyDescent="0.4">
      <c r="H5644" s="1"/>
    </row>
    <row r="5645" spans="8:8" x14ac:dyDescent="0.4">
      <c r="H5645" s="1"/>
    </row>
    <row r="5646" spans="8:8" x14ac:dyDescent="0.4">
      <c r="H5646" s="1"/>
    </row>
    <row r="5647" spans="8:8" x14ac:dyDescent="0.4">
      <c r="H5647" s="1"/>
    </row>
    <row r="5648" spans="8:8" x14ac:dyDescent="0.4">
      <c r="H5648" s="1"/>
    </row>
    <row r="5649" spans="8:8" x14ac:dyDescent="0.4">
      <c r="H5649" s="1"/>
    </row>
    <row r="5650" spans="8:8" x14ac:dyDescent="0.4">
      <c r="H5650" s="1"/>
    </row>
    <row r="5651" spans="8:8" x14ac:dyDescent="0.4">
      <c r="H5651" s="1"/>
    </row>
    <row r="5652" spans="8:8" x14ac:dyDescent="0.4">
      <c r="H5652" s="1"/>
    </row>
    <row r="5653" spans="8:8" x14ac:dyDescent="0.4">
      <c r="H5653" s="1"/>
    </row>
    <row r="5654" spans="8:8" x14ac:dyDescent="0.4">
      <c r="H5654" s="1"/>
    </row>
    <row r="5655" spans="8:8" x14ac:dyDescent="0.4">
      <c r="H5655" s="1"/>
    </row>
    <row r="5656" spans="8:8" x14ac:dyDescent="0.4">
      <c r="H5656" s="1"/>
    </row>
    <row r="5657" spans="8:8" x14ac:dyDescent="0.4">
      <c r="H5657" s="1"/>
    </row>
    <row r="5658" spans="8:8" x14ac:dyDescent="0.4">
      <c r="H5658" s="1"/>
    </row>
    <row r="5659" spans="8:8" x14ac:dyDescent="0.4">
      <c r="H5659" s="1"/>
    </row>
    <row r="5660" spans="8:8" x14ac:dyDescent="0.4">
      <c r="H5660" s="1"/>
    </row>
    <row r="5661" spans="8:8" x14ac:dyDescent="0.4">
      <c r="H5661" s="1"/>
    </row>
    <row r="5662" spans="8:8" x14ac:dyDescent="0.4">
      <c r="H5662" s="1"/>
    </row>
    <row r="5663" spans="8:8" x14ac:dyDescent="0.4">
      <c r="H5663" s="1"/>
    </row>
    <row r="5664" spans="8:8" x14ac:dyDescent="0.4">
      <c r="H5664" s="1"/>
    </row>
    <row r="5665" spans="8:8" x14ac:dyDescent="0.4">
      <c r="H5665" s="1"/>
    </row>
    <row r="5666" spans="8:8" x14ac:dyDescent="0.4">
      <c r="H5666" s="1"/>
    </row>
    <row r="5667" spans="8:8" x14ac:dyDescent="0.4">
      <c r="H5667" s="1"/>
    </row>
    <row r="5668" spans="8:8" x14ac:dyDescent="0.4">
      <c r="H5668" s="1"/>
    </row>
    <row r="5669" spans="8:8" x14ac:dyDescent="0.4">
      <c r="H5669" s="1"/>
    </row>
    <row r="5670" spans="8:8" x14ac:dyDescent="0.4">
      <c r="H5670" s="1"/>
    </row>
    <row r="5671" spans="8:8" x14ac:dyDescent="0.4">
      <c r="H5671" s="1"/>
    </row>
    <row r="5672" spans="8:8" x14ac:dyDescent="0.4">
      <c r="H5672" s="1"/>
    </row>
    <row r="5673" spans="8:8" x14ac:dyDescent="0.4">
      <c r="H5673" s="1"/>
    </row>
    <row r="5674" spans="8:8" x14ac:dyDescent="0.4">
      <c r="H5674" s="1"/>
    </row>
    <row r="5675" spans="8:8" x14ac:dyDescent="0.4">
      <c r="H5675" s="1"/>
    </row>
    <row r="5676" spans="8:8" x14ac:dyDescent="0.4">
      <c r="H5676" s="1"/>
    </row>
    <row r="5677" spans="8:8" x14ac:dyDescent="0.4">
      <c r="H5677" s="1"/>
    </row>
    <row r="5678" spans="8:8" x14ac:dyDescent="0.4">
      <c r="H5678" s="1"/>
    </row>
    <row r="5679" spans="8:8" x14ac:dyDescent="0.4">
      <c r="H5679" s="1"/>
    </row>
    <row r="5680" spans="8:8" x14ac:dyDescent="0.4">
      <c r="H5680" s="1"/>
    </row>
    <row r="5681" spans="8:8" x14ac:dyDescent="0.4">
      <c r="H5681" s="1"/>
    </row>
    <row r="5682" spans="8:8" x14ac:dyDescent="0.4">
      <c r="H5682" s="1"/>
    </row>
    <row r="5683" spans="8:8" x14ac:dyDescent="0.4">
      <c r="H5683" s="1"/>
    </row>
    <row r="5684" spans="8:8" x14ac:dyDescent="0.4">
      <c r="H5684" s="1"/>
    </row>
    <row r="5685" spans="8:8" x14ac:dyDescent="0.4">
      <c r="H5685" s="1"/>
    </row>
    <row r="5686" spans="8:8" x14ac:dyDescent="0.4">
      <c r="H5686" s="1"/>
    </row>
    <row r="5687" spans="8:8" x14ac:dyDescent="0.4">
      <c r="H5687" s="1"/>
    </row>
    <row r="5688" spans="8:8" x14ac:dyDescent="0.4">
      <c r="H5688" s="1"/>
    </row>
    <row r="5689" spans="8:8" x14ac:dyDescent="0.4">
      <c r="H5689" s="1"/>
    </row>
    <row r="5690" spans="8:8" x14ac:dyDescent="0.4">
      <c r="H5690" s="1"/>
    </row>
    <row r="5691" spans="8:8" x14ac:dyDescent="0.4">
      <c r="H5691" s="1"/>
    </row>
    <row r="5692" spans="8:8" x14ac:dyDescent="0.4">
      <c r="H5692" s="1"/>
    </row>
    <row r="5693" spans="8:8" x14ac:dyDescent="0.4">
      <c r="H5693" s="1"/>
    </row>
    <row r="5694" spans="8:8" x14ac:dyDescent="0.4">
      <c r="H5694" s="1"/>
    </row>
    <row r="5695" spans="8:8" x14ac:dyDescent="0.4">
      <c r="H5695" s="1"/>
    </row>
    <row r="5696" spans="8:8" x14ac:dyDescent="0.4">
      <c r="H5696" s="1"/>
    </row>
    <row r="5697" spans="8:8" x14ac:dyDescent="0.4">
      <c r="H5697" s="1"/>
    </row>
    <row r="5698" spans="8:8" x14ac:dyDescent="0.4">
      <c r="H5698" s="1"/>
    </row>
    <row r="5699" spans="8:8" x14ac:dyDescent="0.4">
      <c r="H5699" s="1"/>
    </row>
    <row r="5700" spans="8:8" x14ac:dyDescent="0.4">
      <c r="H5700" s="1"/>
    </row>
    <row r="5701" spans="8:8" x14ac:dyDescent="0.4">
      <c r="H5701" s="1"/>
    </row>
    <row r="5702" spans="8:8" x14ac:dyDescent="0.4">
      <c r="H5702" s="1"/>
    </row>
    <row r="5703" spans="8:8" x14ac:dyDescent="0.4">
      <c r="H5703" s="1"/>
    </row>
    <row r="5704" spans="8:8" x14ac:dyDescent="0.4">
      <c r="H5704" s="1"/>
    </row>
    <row r="5705" spans="8:8" x14ac:dyDescent="0.4">
      <c r="H5705" s="1"/>
    </row>
    <row r="5706" spans="8:8" x14ac:dyDescent="0.4">
      <c r="H5706" s="1"/>
    </row>
    <row r="5707" spans="8:8" x14ac:dyDescent="0.4">
      <c r="H5707" s="1"/>
    </row>
    <row r="5708" spans="8:8" x14ac:dyDescent="0.4">
      <c r="H5708" s="1"/>
    </row>
    <row r="5709" spans="8:8" x14ac:dyDescent="0.4">
      <c r="H5709" s="1"/>
    </row>
    <row r="5710" spans="8:8" x14ac:dyDescent="0.4">
      <c r="H5710" s="1"/>
    </row>
    <row r="5711" spans="8:8" x14ac:dyDescent="0.4">
      <c r="H5711" s="1"/>
    </row>
    <row r="5712" spans="8:8" x14ac:dyDescent="0.4">
      <c r="H5712" s="1"/>
    </row>
    <row r="5713" spans="8:8" x14ac:dyDescent="0.4">
      <c r="H5713" s="1"/>
    </row>
    <row r="5714" spans="8:8" x14ac:dyDescent="0.4">
      <c r="H5714" s="1"/>
    </row>
    <row r="5715" spans="8:8" x14ac:dyDescent="0.4">
      <c r="H5715" s="1"/>
    </row>
    <row r="5716" spans="8:8" x14ac:dyDescent="0.4">
      <c r="H5716" s="1"/>
    </row>
    <row r="5717" spans="8:8" x14ac:dyDescent="0.4">
      <c r="H5717" s="1"/>
    </row>
    <row r="5718" spans="8:8" x14ac:dyDescent="0.4">
      <c r="H5718" s="1"/>
    </row>
    <row r="5719" spans="8:8" x14ac:dyDescent="0.4">
      <c r="H5719" s="1"/>
    </row>
    <row r="5720" spans="8:8" x14ac:dyDescent="0.4">
      <c r="H5720" s="1"/>
    </row>
    <row r="5721" spans="8:8" x14ac:dyDescent="0.4">
      <c r="H5721" s="1"/>
    </row>
    <row r="5722" spans="8:8" x14ac:dyDescent="0.4">
      <c r="H5722" s="1"/>
    </row>
    <row r="5723" spans="8:8" x14ac:dyDescent="0.4">
      <c r="H5723" s="1"/>
    </row>
    <row r="5724" spans="8:8" x14ac:dyDescent="0.4">
      <c r="H5724" s="1"/>
    </row>
    <row r="5725" spans="8:8" x14ac:dyDescent="0.4">
      <c r="H5725" s="1"/>
    </row>
    <row r="5726" spans="8:8" x14ac:dyDescent="0.4">
      <c r="H5726" s="1"/>
    </row>
    <row r="5727" spans="8:8" x14ac:dyDescent="0.4">
      <c r="H5727" s="1"/>
    </row>
    <row r="5728" spans="8:8" x14ac:dyDescent="0.4">
      <c r="H5728" s="1"/>
    </row>
    <row r="5729" spans="8:8" x14ac:dyDescent="0.4">
      <c r="H5729" s="1"/>
    </row>
    <row r="5730" spans="8:8" x14ac:dyDescent="0.4">
      <c r="H5730" s="1"/>
    </row>
    <row r="5731" spans="8:8" x14ac:dyDescent="0.4">
      <c r="H5731" s="1"/>
    </row>
    <row r="5732" spans="8:8" x14ac:dyDescent="0.4">
      <c r="H5732" s="1"/>
    </row>
    <row r="5733" spans="8:8" x14ac:dyDescent="0.4">
      <c r="H5733" s="1"/>
    </row>
    <row r="5734" spans="8:8" x14ac:dyDescent="0.4">
      <c r="H5734" s="1"/>
    </row>
    <row r="5735" spans="8:8" x14ac:dyDescent="0.4">
      <c r="H5735" s="1"/>
    </row>
    <row r="5736" spans="8:8" x14ac:dyDescent="0.4">
      <c r="H5736" s="1"/>
    </row>
    <row r="5737" spans="8:8" x14ac:dyDescent="0.4">
      <c r="H5737" s="1"/>
    </row>
    <row r="5738" spans="8:8" x14ac:dyDescent="0.4">
      <c r="H5738" s="1"/>
    </row>
    <row r="5739" spans="8:8" x14ac:dyDescent="0.4">
      <c r="H5739" s="1"/>
    </row>
    <row r="5740" spans="8:8" x14ac:dyDescent="0.4">
      <c r="H5740" s="1"/>
    </row>
    <row r="5741" spans="8:8" x14ac:dyDescent="0.4">
      <c r="H5741" s="1"/>
    </row>
    <row r="5742" spans="8:8" x14ac:dyDescent="0.4">
      <c r="H5742" s="1"/>
    </row>
    <row r="5743" spans="8:8" x14ac:dyDescent="0.4">
      <c r="H5743" s="1"/>
    </row>
    <row r="5744" spans="8:8" x14ac:dyDescent="0.4">
      <c r="H5744" s="1"/>
    </row>
    <row r="5745" spans="8:8" x14ac:dyDescent="0.4">
      <c r="H5745" s="1"/>
    </row>
    <row r="5746" spans="8:8" x14ac:dyDescent="0.4">
      <c r="H5746" s="1"/>
    </row>
    <row r="5747" spans="8:8" x14ac:dyDescent="0.4">
      <c r="H5747" s="1"/>
    </row>
    <row r="5748" spans="8:8" x14ac:dyDescent="0.4">
      <c r="H5748" s="1"/>
    </row>
    <row r="5749" spans="8:8" x14ac:dyDescent="0.4">
      <c r="H5749" s="1"/>
    </row>
    <row r="5750" spans="8:8" x14ac:dyDescent="0.4">
      <c r="H5750" s="1"/>
    </row>
    <row r="5751" spans="8:8" x14ac:dyDescent="0.4">
      <c r="H5751" s="1"/>
    </row>
    <row r="5752" spans="8:8" x14ac:dyDescent="0.4">
      <c r="H5752" s="1"/>
    </row>
    <row r="5753" spans="8:8" x14ac:dyDescent="0.4">
      <c r="H5753" s="1"/>
    </row>
    <row r="5754" spans="8:8" x14ac:dyDescent="0.4">
      <c r="H5754" s="1"/>
    </row>
    <row r="5755" spans="8:8" x14ac:dyDescent="0.4">
      <c r="H5755" s="1"/>
    </row>
    <row r="5756" spans="8:8" x14ac:dyDescent="0.4">
      <c r="H5756" s="1"/>
    </row>
    <row r="5757" spans="8:8" x14ac:dyDescent="0.4">
      <c r="H5757" s="1"/>
    </row>
    <row r="5758" spans="8:8" x14ac:dyDescent="0.4">
      <c r="H5758" s="1"/>
    </row>
    <row r="5759" spans="8:8" x14ac:dyDescent="0.4">
      <c r="H5759" s="1"/>
    </row>
    <row r="5760" spans="8:8" x14ac:dyDescent="0.4">
      <c r="H5760" s="1"/>
    </row>
    <row r="5761" spans="8:8" x14ac:dyDescent="0.4">
      <c r="H5761" s="1"/>
    </row>
    <row r="5762" spans="8:8" x14ac:dyDescent="0.4">
      <c r="H5762" s="1"/>
    </row>
    <row r="5763" spans="8:8" x14ac:dyDescent="0.4">
      <c r="H5763" s="1"/>
    </row>
    <row r="5764" spans="8:8" x14ac:dyDescent="0.4">
      <c r="H5764" s="1"/>
    </row>
    <row r="5765" spans="8:8" x14ac:dyDescent="0.4">
      <c r="H5765" s="1"/>
    </row>
    <row r="5766" spans="8:8" x14ac:dyDescent="0.4">
      <c r="H5766" s="1"/>
    </row>
    <row r="5767" spans="8:8" x14ac:dyDescent="0.4">
      <c r="H5767" s="1"/>
    </row>
    <row r="5768" spans="8:8" x14ac:dyDescent="0.4">
      <c r="H5768" s="1"/>
    </row>
    <row r="5769" spans="8:8" x14ac:dyDescent="0.4">
      <c r="H5769" s="1"/>
    </row>
    <row r="5770" spans="8:8" x14ac:dyDescent="0.4">
      <c r="H5770" s="1"/>
    </row>
    <row r="5771" spans="8:8" x14ac:dyDescent="0.4">
      <c r="H5771" s="1"/>
    </row>
    <row r="5772" spans="8:8" x14ac:dyDescent="0.4">
      <c r="H5772" s="1"/>
    </row>
    <row r="5773" spans="8:8" x14ac:dyDescent="0.4">
      <c r="H5773" s="1"/>
    </row>
    <row r="5774" spans="8:8" x14ac:dyDescent="0.4">
      <c r="H5774" s="1"/>
    </row>
    <row r="5775" spans="8:8" x14ac:dyDescent="0.4">
      <c r="H5775" s="1"/>
    </row>
    <row r="5776" spans="8:8" x14ac:dyDescent="0.4">
      <c r="H5776" s="1"/>
    </row>
    <row r="5777" spans="8:8" x14ac:dyDescent="0.4">
      <c r="H5777" s="1"/>
    </row>
    <row r="5778" spans="8:8" x14ac:dyDescent="0.4">
      <c r="H5778" s="1"/>
    </row>
    <row r="5779" spans="8:8" x14ac:dyDescent="0.4">
      <c r="H5779" s="1"/>
    </row>
    <row r="5780" spans="8:8" x14ac:dyDescent="0.4">
      <c r="H5780" s="1"/>
    </row>
    <row r="5781" spans="8:8" x14ac:dyDescent="0.4">
      <c r="H5781" s="1"/>
    </row>
    <row r="5782" spans="8:8" x14ac:dyDescent="0.4">
      <c r="H5782" s="1"/>
    </row>
    <row r="5783" spans="8:8" x14ac:dyDescent="0.4">
      <c r="H5783" s="1"/>
    </row>
    <row r="5784" spans="8:8" x14ac:dyDescent="0.4">
      <c r="H5784" s="1"/>
    </row>
    <row r="5785" spans="8:8" x14ac:dyDescent="0.4">
      <c r="H5785" s="1"/>
    </row>
    <row r="5786" spans="8:8" x14ac:dyDescent="0.4">
      <c r="H5786" s="1"/>
    </row>
    <row r="5787" spans="8:8" x14ac:dyDescent="0.4">
      <c r="H5787" s="1"/>
    </row>
    <row r="5788" spans="8:8" x14ac:dyDescent="0.4">
      <c r="H5788" s="1"/>
    </row>
    <row r="5789" spans="8:8" x14ac:dyDescent="0.4">
      <c r="H5789" s="1"/>
    </row>
    <row r="5790" spans="8:8" x14ac:dyDescent="0.4">
      <c r="H5790" s="1"/>
    </row>
    <row r="5791" spans="8:8" x14ac:dyDescent="0.4">
      <c r="H5791" s="1"/>
    </row>
    <row r="5792" spans="8:8" x14ac:dyDescent="0.4">
      <c r="H5792" s="1"/>
    </row>
    <row r="5793" spans="8:8" x14ac:dyDescent="0.4">
      <c r="H5793" s="1"/>
    </row>
    <row r="5794" spans="8:8" x14ac:dyDescent="0.4">
      <c r="H5794" s="1"/>
    </row>
    <row r="5795" spans="8:8" x14ac:dyDescent="0.4">
      <c r="H5795" s="1"/>
    </row>
    <row r="5796" spans="8:8" x14ac:dyDescent="0.4">
      <c r="H5796" s="1"/>
    </row>
    <row r="5797" spans="8:8" x14ac:dyDescent="0.4">
      <c r="H5797" s="1"/>
    </row>
    <row r="5798" spans="8:8" x14ac:dyDescent="0.4">
      <c r="H5798" s="1"/>
    </row>
    <row r="5799" spans="8:8" x14ac:dyDescent="0.4">
      <c r="H5799" s="1"/>
    </row>
    <row r="5800" spans="8:8" x14ac:dyDescent="0.4">
      <c r="H5800" s="1"/>
    </row>
    <row r="5801" spans="8:8" x14ac:dyDescent="0.4">
      <c r="H5801" s="1"/>
    </row>
    <row r="5802" spans="8:8" x14ac:dyDescent="0.4">
      <c r="H5802" s="1"/>
    </row>
    <row r="5803" spans="8:8" x14ac:dyDescent="0.4">
      <c r="H5803" s="1"/>
    </row>
    <row r="5804" spans="8:8" x14ac:dyDescent="0.4">
      <c r="H5804" s="1"/>
    </row>
    <row r="5805" spans="8:8" x14ac:dyDescent="0.4">
      <c r="H5805" s="1"/>
    </row>
    <row r="5806" spans="8:8" x14ac:dyDescent="0.4">
      <c r="H5806" s="1"/>
    </row>
    <row r="5807" spans="8:8" x14ac:dyDescent="0.4">
      <c r="H5807" s="1"/>
    </row>
    <row r="5808" spans="8:8" x14ac:dyDescent="0.4">
      <c r="H5808" s="1"/>
    </row>
    <row r="5809" spans="8:8" x14ac:dyDescent="0.4">
      <c r="H5809" s="1"/>
    </row>
    <row r="5810" spans="8:8" x14ac:dyDescent="0.4">
      <c r="H5810" s="1"/>
    </row>
    <row r="5811" spans="8:8" x14ac:dyDescent="0.4">
      <c r="H5811" s="1"/>
    </row>
    <row r="5812" spans="8:8" x14ac:dyDescent="0.4">
      <c r="H5812" s="1"/>
    </row>
    <row r="5813" spans="8:8" x14ac:dyDescent="0.4">
      <c r="H5813" s="1"/>
    </row>
    <row r="5814" spans="8:8" x14ac:dyDescent="0.4">
      <c r="H5814" s="1"/>
    </row>
    <row r="5815" spans="8:8" x14ac:dyDescent="0.4">
      <c r="H5815" s="1"/>
    </row>
    <row r="5816" spans="8:8" x14ac:dyDescent="0.4">
      <c r="H5816" s="1"/>
    </row>
    <row r="5817" spans="8:8" x14ac:dyDescent="0.4">
      <c r="H5817" s="1"/>
    </row>
    <row r="5818" spans="8:8" x14ac:dyDescent="0.4">
      <c r="H5818" s="1"/>
    </row>
    <row r="5819" spans="8:8" x14ac:dyDescent="0.4">
      <c r="H5819" s="1"/>
    </row>
    <row r="5820" spans="8:8" x14ac:dyDescent="0.4">
      <c r="H5820" s="1"/>
    </row>
    <row r="5821" spans="8:8" x14ac:dyDescent="0.4">
      <c r="H5821" s="1"/>
    </row>
    <row r="5822" spans="8:8" x14ac:dyDescent="0.4">
      <c r="H5822" s="1"/>
    </row>
    <row r="5823" spans="8:8" x14ac:dyDescent="0.4">
      <c r="H5823" s="1"/>
    </row>
    <row r="5824" spans="8:8" x14ac:dyDescent="0.4">
      <c r="H5824" s="1"/>
    </row>
    <row r="5825" spans="8:8" x14ac:dyDescent="0.4">
      <c r="H5825" s="1"/>
    </row>
    <row r="5826" spans="8:8" x14ac:dyDescent="0.4">
      <c r="H5826" s="1"/>
    </row>
    <row r="5827" spans="8:8" x14ac:dyDescent="0.4">
      <c r="H5827" s="1"/>
    </row>
    <row r="5828" spans="8:8" x14ac:dyDescent="0.4">
      <c r="H5828" s="1"/>
    </row>
    <row r="5829" spans="8:8" x14ac:dyDescent="0.4">
      <c r="H5829" s="1"/>
    </row>
    <row r="5830" spans="8:8" x14ac:dyDescent="0.4">
      <c r="H5830" s="1"/>
    </row>
    <row r="5831" spans="8:8" x14ac:dyDescent="0.4">
      <c r="H5831" s="1"/>
    </row>
    <row r="5832" spans="8:8" x14ac:dyDescent="0.4">
      <c r="H5832" s="1"/>
    </row>
    <row r="5833" spans="8:8" x14ac:dyDescent="0.4">
      <c r="H5833" s="1"/>
    </row>
    <row r="5834" spans="8:8" x14ac:dyDescent="0.4">
      <c r="H5834" s="1"/>
    </row>
    <row r="5835" spans="8:8" x14ac:dyDescent="0.4">
      <c r="H5835" s="1"/>
    </row>
    <row r="5836" spans="8:8" x14ac:dyDescent="0.4">
      <c r="H5836" s="1"/>
    </row>
    <row r="5837" spans="8:8" x14ac:dyDescent="0.4">
      <c r="H5837" s="1"/>
    </row>
    <row r="5838" spans="8:8" x14ac:dyDescent="0.4">
      <c r="H5838" s="1"/>
    </row>
    <row r="5839" spans="8:8" x14ac:dyDescent="0.4">
      <c r="H5839" s="1"/>
    </row>
    <row r="5840" spans="8:8" x14ac:dyDescent="0.4">
      <c r="H5840" s="1"/>
    </row>
    <row r="5841" spans="8:8" x14ac:dyDescent="0.4">
      <c r="H5841" s="1"/>
    </row>
    <row r="5842" spans="8:8" x14ac:dyDescent="0.4">
      <c r="H5842" s="1"/>
    </row>
    <row r="5843" spans="8:8" x14ac:dyDescent="0.4">
      <c r="H5843" s="1"/>
    </row>
    <row r="5844" spans="8:8" x14ac:dyDescent="0.4">
      <c r="H5844" s="1"/>
    </row>
    <row r="5845" spans="8:8" x14ac:dyDescent="0.4">
      <c r="H5845" s="1"/>
    </row>
    <row r="5846" spans="8:8" x14ac:dyDescent="0.4">
      <c r="H5846" s="1"/>
    </row>
    <row r="5847" spans="8:8" x14ac:dyDescent="0.4">
      <c r="H5847" s="1"/>
    </row>
    <row r="5848" spans="8:8" x14ac:dyDescent="0.4">
      <c r="H5848" s="1"/>
    </row>
    <row r="5849" spans="8:8" x14ac:dyDescent="0.4">
      <c r="H5849" s="1"/>
    </row>
    <row r="5850" spans="8:8" x14ac:dyDescent="0.4">
      <c r="H5850" s="1"/>
    </row>
    <row r="5851" spans="8:8" x14ac:dyDescent="0.4">
      <c r="H5851" s="1"/>
    </row>
    <row r="5852" spans="8:8" x14ac:dyDescent="0.4">
      <c r="H5852" s="1"/>
    </row>
    <row r="5853" spans="8:8" x14ac:dyDescent="0.4">
      <c r="H5853" s="1"/>
    </row>
    <row r="5854" spans="8:8" x14ac:dyDescent="0.4">
      <c r="H5854" s="1"/>
    </row>
    <row r="5855" spans="8:8" x14ac:dyDescent="0.4">
      <c r="H5855" s="1"/>
    </row>
    <row r="5856" spans="8:8" x14ac:dyDescent="0.4">
      <c r="H5856" s="1"/>
    </row>
    <row r="5857" spans="8:8" x14ac:dyDescent="0.4">
      <c r="H5857" s="1"/>
    </row>
    <row r="5858" spans="8:8" x14ac:dyDescent="0.4">
      <c r="H5858" s="1"/>
    </row>
    <row r="5859" spans="8:8" x14ac:dyDescent="0.4">
      <c r="H5859" s="1"/>
    </row>
    <row r="5860" spans="8:8" x14ac:dyDescent="0.4">
      <c r="H5860" s="1"/>
    </row>
    <row r="5861" spans="8:8" x14ac:dyDescent="0.4">
      <c r="H5861" s="1"/>
    </row>
    <row r="5862" spans="8:8" x14ac:dyDescent="0.4">
      <c r="H5862" s="1"/>
    </row>
    <row r="5863" spans="8:8" x14ac:dyDescent="0.4">
      <c r="H5863" s="1"/>
    </row>
    <row r="5864" spans="8:8" x14ac:dyDescent="0.4">
      <c r="H5864" s="1"/>
    </row>
    <row r="5865" spans="8:8" x14ac:dyDescent="0.4">
      <c r="H5865" s="1"/>
    </row>
    <row r="5866" spans="8:8" x14ac:dyDescent="0.4">
      <c r="H5866" s="1"/>
    </row>
    <row r="5867" spans="8:8" x14ac:dyDescent="0.4">
      <c r="H5867" s="1"/>
    </row>
    <row r="5868" spans="8:8" x14ac:dyDescent="0.4">
      <c r="H5868" s="1"/>
    </row>
    <row r="5869" spans="8:8" x14ac:dyDescent="0.4">
      <c r="H5869" s="1"/>
    </row>
    <row r="5870" spans="8:8" x14ac:dyDescent="0.4">
      <c r="H5870" s="1"/>
    </row>
    <row r="5871" spans="8:8" x14ac:dyDescent="0.4">
      <c r="H5871" s="1"/>
    </row>
    <row r="5872" spans="8:8" x14ac:dyDescent="0.4">
      <c r="H5872" s="1"/>
    </row>
    <row r="5873" spans="8:8" x14ac:dyDescent="0.4">
      <c r="H5873" s="1"/>
    </row>
    <row r="5874" spans="8:8" x14ac:dyDescent="0.4">
      <c r="H5874" s="1"/>
    </row>
    <row r="5875" spans="8:8" x14ac:dyDescent="0.4">
      <c r="H5875" s="1"/>
    </row>
    <row r="5876" spans="8:8" x14ac:dyDescent="0.4">
      <c r="H5876" s="1"/>
    </row>
    <row r="5877" spans="8:8" x14ac:dyDescent="0.4">
      <c r="H5877" s="1"/>
    </row>
    <row r="5878" spans="8:8" x14ac:dyDescent="0.4">
      <c r="H5878" s="1"/>
    </row>
    <row r="5879" spans="8:8" x14ac:dyDescent="0.4">
      <c r="H5879" s="1"/>
    </row>
    <row r="5880" spans="8:8" x14ac:dyDescent="0.4">
      <c r="H5880" s="1"/>
    </row>
    <row r="5881" spans="8:8" x14ac:dyDescent="0.4">
      <c r="H5881" s="1"/>
    </row>
    <row r="5882" spans="8:8" x14ac:dyDescent="0.4">
      <c r="H5882" s="1"/>
    </row>
    <row r="5883" spans="8:8" x14ac:dyDescent="0.4">
      <c r="H5883" s="1"/>
    </row>
    <row r="5884" spans="8:8" x14ac:dyDescent="0.4">
      <c r="H5884" s="1"/>
    </row>
    <row r="5885" spans="8:8" x14ac:dyDescent="0.4">
      <c r="H5885" s="1"/>
    </row>
    <row r="5886" spans="8:8" x14ac:dyDescent="0.4">
      <c r="H5886" s="1"/>
    </row>
    <row r="5887" spans="8:8" x14ac:dyDescent="0.4">
      <c r="H5887" s="1"/>
    </row>
    <row r="5888" spans="8:8" x14ac:dyDescent="0.4">
      <c r="H5888" s="1"/>
    </row>
    <row r="5889" spans="8:8" x14ac:dyDescent="0.4">
      <c r="H5889" s="1"/>
    </row>
    <row r="5890" spans="8:8" x14ac:dyDescent="0.4">
      <c r="H5890" s="1"/>
    </row>
    <row r="5891" spans="8:8" x14ac:dyDescent="0.4">
      <c r="H5891" s="1"/>
    </row>
    <row r="5892" spans="8:8" x14ac:dyDescent="0.4">
      <c r="H5892" s="1"/>
    </row>
    <row r="5893" spans="8:8" x14ac:dyDescent="0.4">
      <c r="H5893" s="1"/>
    </row>
    <row r="5894" spans="8:8" x14ac:dyDescent="0.4">
      <c r="H5894" s="1"/>
    </row>
    <row r="5895" spans="8:8" x14ac:dyDescent="0.4">
      <c r="H5895" s="1"/>
    </row>
    <row r="5896" spans="8:8" x14ac:dyDescent="0.4">
      <c r="H5896" s="1"/>
    </row>
    <row r="5897" spans="8:8" x14ac:dyDescent="0.4">
      <c r="H5897" s="1"/>
    </row>
    <row r="5898" spans="8:8" x14ac:dyDescent="0.4">
      <c r="H5898" s="1"/>
    </row>
    <row r="5899" spans="8:8" x14ac:dyDescent="0.4">
      <c r="H5899" s="1"/>
    </row>
    <row r="5900" spans="8:8" x14ac:dyDescent="0.4">
      <c r="H5900" s="1"/>
    </row>
    <row r="5901" spans="8:8" x14ac:dyDescent="0.4">
      <c r="H5901" s="1"/>
    </row>
    <row r="5902" spans="8:8" x14ac:dyDescent="0.4">
      <c r="H5902" s="1"/>
    </row>
    <row r="5903" spans="8:8" x14ac:dyDescent="0.4">
      <c r="H5903" s="1"/>
    </row>
    <row r="5904" spans="8:8" x14ac:dyDescent="0.4">
      <c r="H5904" s="1"/>
    </row>
    <row r="5905" spans="8:8" x14ac:dyDescent="0.4">
      <c r="H5905" s="1"/>
    </row>
    <row r="5906" spans="8:8" x14ac:dyDescent="0.4">
      <c r="H5906" s="1"/>
    </row>
    <row r="5907" spans="8:8" x14ac:dyDescent="0.4">
      <c r="H5907" s="1"/>
    </row>
    <row r="5908" spans="8:8" x14ac:dyDescent="0.4">
      <c r="H5908" s="1"/>
    </row>
    <row r="5909" spans="8:8" x14ac:dyDescent="0.4">
      <c r="H5909" s="1"/>
    </row>
    <row r="5910" spans="8:8" x14ac:dyDescent="0.4">
      <c r="H5910" s="1"/>
    </row>
    <row r="5911" spans="8:8" x14ac:dyDescent="0.4">
      <c r="H5911" s="1"/>
    </row>
    <row r="5912" spans="8:8" x14ac:dyDescent="0.4">
      <c r="H5912" s="1"/>
    </row>
    <row r="5913" spans="8:8" x14ac:dyDescent="0.4">
      <c r="H5913" s="1"/>
    </row>
    <row r="5914" spans="8:8" x14ac:dyDescent="0.4">
      <c r="H5914" s="1"/>
    </row>
    <row r="5915" spans="8:8" x14ac:dyDescent="0.4">
      <c r="H5915" s="1"/>
    </row>
    <row r="5916" spans="8:8" x14ac:dyDescent="0.4">
      <c r="H5916" s="1"/>
    </row>
    <row r="5917" spans="8:8" x14ac:dyDescent="0.4">
      <c r="H5917" s="1"/>
    </row>
    <row r="5918" spans="8:8" x14ac:dyDescent="0.4">
      <c r="H5918" s="1"/>
    </row>
    <row r="5919" spans="8:8" x14ac:dyDescent="0.4">
      <c r="H5919" s="1"/>
    </row>
    <row r="5920" spans="8:8" x14ac:dyDescent="0.4">
      <c r="H5920" s="1"/>
    </row>
    <row r="5921" spans="8:8" x14ac:dyDescent="0.4">
      <c r="H5921" s="1"/>
    </row>
    <row r="5922" spans="8:8" x14ac:dyDescent="0.4">
      <c r="H5922" s="1"/>
    </row>
    <row r="5923" spans="8:8" x14ac:dyDescent="0.4">
      <c r="H5923" s="1"/>
    </row>
    <row r="5924" spans="8:8" x14ac:dyDescent="0.4">
      <c r="H5924" s="1"/>
    </row>
    <row r="5925" spans="8:8" x14ac:dyDescent="0.4">
      <c r="H5925" s="1"/>
    </row>
    <row r="5926" spans="8:8" x14ac:dyDescent="0.4">
      <c r="H5926" s="1"/>
    </row>
    <row r="5927" spans="8:8" x14ac:dyDescent="0.4">
      <c r="H5927" s="1"/>
    </row>
    <row r="5928" spans="8:8" x14ac:dyDescent="0.4">
      <c r="H5928" s="1"/>
    </row>
    <row r="5929" spans="8:8" x14ac:dyDescent="0.4">
      <c r="H5929" s="1"/>
    </row>
    <row r="5930" spans="8:8" x14ac:dyDescent="0.4">
      <c r="H5930" s="1"/>
    </row>
    <row r="5931" spans="8:8" x14ac:dyDescent="0.4">
      <c r="H5931" s="1"/>
    </row>
    <row r="5932" spans="8:8" x14ac:dyDescent="0.4">
      <c r="H5932" s="1"/>
    </row>
    <row r="5933" spans="8:8" x14ac:dyDescent="0.4">
      <c r="H5933" s="1"/>
    </row>
    <row r="5934" spans="8:8" x14ac:dyDescent="0.4">
      <c r="H5934" s="1"/>
    </row>
    <row r="5935" spans="8:8" x14ac:dyDescent="0.4">
      <c r="H5935" s="1"/>
    </row>
    <row r="5936" spans="8:8" x14ac:dyDescent="0.4">
      <c r="H5936" s="1"/>
    </row>
    <row r="5937" spans="8:8" x14ac:dyDescent="0.4">
      <c r="H5937" s="1"/>
    </row>
    <row r="5938" spans="8:8" x14ac:dyDescent="0.4">
      <c r="H5938" s="1"/>
    </row>
    <row r="5939" spans="8:8" x14ac:dyDescent="0.4">
      <c r="H5939" s="1"/>
    </row>
    <row r="5940" spans="8:8" x14ac:dyDescent="0.4">
      <c r="H5940" s="1"/>
    </row>
    <row r="5941" spans="8:8" x14ac:dyDescent="0.4">
      <c r="H5941" s="1"/>
    </row>
    <row r="5942" spans="8:8" x14ac:dyDescent="0.4">
      <c r="H5942" s="1"/>
    </row>
    <row r="5943" spans="8:8" x14ac:dyDescent="0.4">
      <c r="H5943" s="1"/>
    </row>
    <row r="5944" spans="8:8" x14ac:dyDescent="0.4">
      <c r="H5944" s="1"/>
    </row>
    <row r="5945" spans="8:8" x14ac:dyDescent="0.4">
      <c r="H5945" s="1"/>
    </row>
    <row r="5946" spans="8:8" x14ac:dyDescent="0.4">
      <c r="H5946" s="1"/>
    </row>
    <row r="5947" spans="8:8" x14ac:dyDescent="0.4">
      <c r="H5947" s="1"/>
    </row>
    <row r="5948" spans="8:8" x14ac:dyDescent="0.4">
      <c r="H5948" s="1"/>
    </row>
    <row r="5949" spans="8:8" x14ac:dyDescent="0.4">
      <c r="H5949" s="1"/>
    </row>
    <row r="5950" spans="8:8" x14ac:dyDescent="0.4">
      <c r="H5950" s="1"/>
    </row>
    <row r="5951" spans="8:8" x14ac:dyDescent="0.4">
      <c r="H5951" s="1"/>
    </row>
    <row r="5952" spans="8:8" x14ac:dyDescent="0.4">
      <c r="H5952" s="1"/>
    </row>
    <row r="5953" spans="8:8" x14ac:dyDescent="0.4">
      <c r="H5953" s="1"/>
    </row>
    <row r="5954" spans="8:8" x14ac:dyDescent="0.4">
      <c r="H5954" s="1"/>
    </row>
    <row r="5955" spans="8:8" x14ac:dyDescent="0.4">
      <c r="H5955" s="1"/>
    </row>
    <row r="5956" spans="8:8" x14ac:dyDescent="0.4">
      <c r="H5956" s="1"/>
    </row>
    <row r="5957" spans="8:8" x14ac:dyDescent="0.4">
      <c r="H5957" s="1"/>
    </row>
    <row r="5958" spans="8:8" x14ac:dyDescent="0.4">
      <c r="H5958" s="1"/>
    </row>
    <row r="5959" spans="8:8" x14ac:dyDescent="0.4">
      <c r="H5959" s="1"/>
    </row>
    <row r="5960" spans="8:8" x14ac:dyDescent="0.4">
      <c r="H5960" s="1"/>
    </row>
    <row r="5961" spans="8:8" x14ac:dyDescent="0.4">
      <c r="H5961" s="1"/>
    </row>
    <row r="5962" spans="8:8" x14ac:dyDescent="0.4">
      <c r="H5962" s="1"/>
    </row>
    <row r="5963" spans="8:8" x14ac:dyDescent="0.4">
      <c r="H5963" s="1"/>
    </row>
    <row r="5964" spans="8:8" x14ac:dyDescent="0.4">
      <c r="H5964" s="1"/>
    </row>
    <row r="5965" spans="8:8" x14ac:dyDescent="0.4">
      <c r="H5965" s="1"/>
    </row>
    <row r="5966" spans="8:8" x14ac:dyDescent="0.4">
      <c r="H5966" s="1"/>
    </row>
    <row r="5967" spans="8:8" x14ac:dyDescent="0.4">
      <c r="H5967" s="1"/>
    </row>
    <row r="5968" spans="8:8" x14ac:dyDescent="0.4">
      <c r="H5968" s="1"/>
    </row>
    <row r="5969" spans="8:8" x14ac:dyDescent="0.4">
      <c r="H5969" s="1"/>
    </row>
    <row r="5970" spans="8:8" x14ac:dyDescent="0.4">
      <c r="H5970" s="1"/>
    </row>
    <row r="5971" spans="8:8" x14ac:dyDescent="0.4">
      <c r="H5971" s="1"/>
    </row>
    <row r="5972" spans="8:8" x14ac:dyDescent="0.4">
      <c r="H5972" s="1"/>
    </row>
    <row r="5973" spans="8:8" x14ac:dyDescent="0.4">
      <c r="H5973" s="1"/>
    </row>
    <row r="5974" spans="8:8" x14ac:dyDescent="0.4">
      <c r="H5974" s="1"/>
    </row>
    <row r="5975" spans="8:8" x14ac:dyDescent="0.4">
      <c r="H5975" s="1"/>
    </row>
    <row r="5976" spans="8:8" x14ac:dyDescent="0.4">
      <c r="H5976" s="1"/>
    </row>
    <row r="5977" spans="8:8" x14ac:dyDescent="0.4">
      <c r="H5977" s="1"/>
    </row>
    <row r="5978" spans="8:8" x14ac:dyDescent="0.4">
      <c r="H5978" s="1"/>
    </row>
    <row r="5979" spans="8:8" x14ac:dyDescent="0.4">
      <c r="H5979" s="1"/>
    </row>
    <row r="5980" spans="8:8" x14ac:dyDescent="0.4">
      <c r="H5980" s="1"/>
    </row>
    <row r="5981" spans="8:8" x14ac:dyDescent="0.4">
      <c r="H5981" s="1"/>
    </row>
    <row r="5982" spans="8:8" x14ac:dyDescent="0.4">
      <c r="H5982" s="1"/>
    </row>
    <row r="5983" spans="8:8" x14ac:dyDescent="0.4">
      <c r="H5983" s="1"/>
    </row>
    <row r="5984" spans="8:8" x14ac:dyDescent="0.4">
      <c r="H5984" s="1"/>
    </row>
    <row r="5985" spans="8:8" x14ac:dyDescent="0.4">
      <c r="H5985" s="1"/>
    </row>
    <row r="5986" spans="8:8" x14ac:dyDescent="0.4">
      <c r="H5986" s="1"/>
    </row>
    <row r="5987" spans="8:8" x14ac:dyDescent="0.4">
      <c r="H5987" s="1"/>
    </row>
    <row r="5988" spans="8:8" x14ac:dyDescent="0.4">
      <c r="H5988" s="1"/>
    </row>
    <row r="5989" spans="8:8" x14ac:dyDescent="0.4">
      <c r="H5989" s="1"/>
    </row>
    <row r="5990" spans="8:8" x14ac:dyDescent="0.4">
      <c r="H5990" s="1"/>
    </row>
    <row r="5991" spans="8:8" x14ac:dyDescent="0.4">
      <c r="H5991" s="1"/>
    </row>
    <row r="5992" spans="8:8" x14ac:dyDescent="0.4">
      <c r="H5992" s="1"/>
    </row>
    <row r="5993" spans="8:8" x14ac:dyDescent="0.4">
      <c r="H5993" s="1"/>
    </row>
    <row r="5994" spans="8:8" x14ac:dyDescent="0.4">
      <c r="H5994" s="1"/>
    </row>
    <row r="5995" spans="8:8" x14ac:dyDescent="0.4">
      <c r="H5995" s="1"/>
    </row>
    <row r="5996" spans="8:8" x14ac:dyDescent="0.4">
      <c r="H5996" s="1"/>
    </row>
    <row r="5997" spans="8:8" x14ac:dyDescent="0.4">
      <c r="H5997" s="1"/>
    </row>
    <row r="5998" spans="8:8" x14ac:dyDescent="0.4">
      <c r="H5998" s="1"/>
    </row>
    <row r="5999" spans="8:8" x14ac:dyDescent="0.4">
      <c r="H5999" s="1"/>
    </row>
    <row r="6000" spans="8:8" x14ac:dyDescent="0.4">
      <c r="H6000" s="1"/>
    </row>
    <row r="6001" spans="8:8" x14ac:dyDescent="0.4">
      <c r="H6001" s="1"/>
    </row>
    <row r="6002" spans="8:8" x14ac:dyDescent="0.4">
      <c r="H6002" s="1"/>
    </row>
    <row r="6003" spans="8:8" x14ac:dyDescent="0.4">
      <c r="H6003" s="1"/>
    </row>
    <row r="6004" spans="8:8" x14ac:dyDescent="0.4">
      <c r="H6004" s="1"/>
    </row>
    <row r="6005" spans="8:8" x14ac:dyDescent="0.4">
      <c r="H6005" s="1"/>
    </row>
    <row r="6006" spans="8:8" x14ac:dyDescent="0.4">
      <c r="H6006" s="1"/>
    </row>
    <row r="6007" spans="8:8" x14ac:dyDescent="0.4">
      <c r="H6007" s="1"/>
    </row>
    <row r="6008" spans="8:8" x14ac:dyDescent="0.4">
      <c r="H6008" s="1"/>
    </row>
    <row r="6009" spans="8:8" x14ac:dyDescent="0.4">
      <c r="H6009" s="1"/>
    </row>
    <row r="6010" spans="8:8" x14ac:dyDescent="0.4">
      <c r="H6010" s="1"/>
    </row>
    <row r="6011" spans="8:8" x14ac:dyDescent="0.4">
      <c r="H6011" s="1"/>
    </row>
    <row r="6012" spans="8:8" x14ac:dyDescent="0.4">
      <c r="H6012" s="1"/>
    </row>
    <row r="6013" spans="8:8" x14ac:dyDescent="0.4">
      <c r="H6013" s="1"/>
    </row>
    <row r="6014" spans="8:8" x14ac:dyDescent="0.4">
      <c r="H6014" s="1"/>
    </row>
    <row r="6015" spans="8:8" x14ac:dyDescent="0.4">
      <c r="H6015" s="1"/>
    </row>
    <row r="6016" spans="8:8" x14ac:dyDescent="0.4">
      <c r="H6016" s="1"/>
    </row>
    <row r="6017" spans="8:8" x14ac:dyDescent="0.4">
      <c r="H6017" s="1"/>
    </row>
    <row r="6018" spans="8:8" x14ac:dyDescent="0.4">
      <c r="H6018" s="1"/>
    </row>
    <row r="6019" spans="8:8" x14ac:dyDescent="0.4">
      <c r="H6019" s="1"/>
    </row>
    <row r="6020" spans="8:8" x14ac:dyDescent="0.4">
      <c r="H6020" s="1"/>
    </row>
    <row r="6021" spans="8:8" x14ac:dyDescent="0.4">
      <c r="H6021" s="1"/>
    </row>
    <row r="6022" spans="8:8" x14ac:dyDescent="0.4">
      <c r="H6022" s="1"/>
    </row>
    <row r="6023" spans="8:8" x14ac:dyDescent="0.4">
      <c r="H6023" s="1"/>
    </row>
    <row r="6024" spans="8:8" x14ac:dyDescent="0.4">
      <c r="H6024" s="1"/>
    </row>
    <row r="6025" spans="8:8" x14ac:dyDescent="0.4">
      <c r="H6025" s="1"/>
    </row>
    <row r="6026" spans="8:8" x14ac:dyDescent="0.4">
      <c r="H6026" s="1"/>
    </row>
    <row r="6027" spans="8:8" x14ac:dyDescent="0.4">
      <c r="H6027" s="1"/>
    </row>
    <row r="6028" spans="8:8" x14ac:dyDescent="0.4">
      <c r="H6028" s="1"/>
    </row>
    <row r="6029" spans="8:8" x14ac:dyDescent="0.4">
      <c r="H6029" s="1"/>
    </row>
    <row r="6030" spans="8:8" x14ac:dyDescent="0.4">
      <c r="H6030" s="1"/>
    </row>
    <row r="6031" spans="8:8" x14ac:dyDescent="0.4">
      <c r="H6031" s="1"/>
    </row>
    <row r="6032" spans="8:8" x14ac:dyDescent="0.4">
      <c r="H6032" s="1"/>
    </row>
    <row r="6033" spans="8:8" x14ac:dyDescent="0.4">
      <c r="H6033" s="1"/>
    </row>
    <row r="6034" spans="8:8" x14ac:dyDescent="0.4">
      <c r="H6034" s="1"/>
    </row>
    <row r="6035" spans="8:8" x14ac:dyDescent="0.4">
      <c r="H6035" s="1"/>
    </row>
    <row r="6036" spans="8:8" x14ac:dyDescent="0.4">
      <c r="H6036" s="1"/>
    </row>
    <row r="6037" spans="8:8" x14ac:dyDescent="0.4">
      <c r="H6037" s="1"/>
    </row>
    <row r="6038" spans="8:8" x14ac:dyDescent="0.4">
      <c r="H6038" s="1"/>
    </row>
    <row r="6039" spans="8:8" x14ac:dyDescent="0.4">
      <c r="H6039" s="1"/>
    </row>
    <row r="6040" spans="8:8" x14ac:dyDescent="0.4">
      <c r="H6040" s="1"/>
    </row>
    <row r="6041" spans="8:8" x14ac:dyDescent="0.4">
      <c r="H6041" s="1"/>
    </row>
    <row r="6042" spans="8:8" x14ac:dyDescent="0.4">
      <c r="H6042" s="1"/>
    </row>
    <row r="6043" spans="8:8" x14ac:dyDescent="0.4">
      <c r="H6043" s="1"/>
    </row>
    <row r="6044" spans="8:8" x14ac:dyDescent="0.4">
      <c r="H6044" s="1"/>
    </row>
    <row r="6045" spans="8:8" x14ac:dyDescent="0.4">
      <c r="H6045" s="1"/>
    </row>
    <row r="6046" spans="8:8" x14ac:dyDescent="0.4">
      <c r="H6046" s="1"/>
    </row>
    <row r="6047" spans="8:8" x14ac:dyDescent="0.4">
      <c r="H6047" s="1"/>
    </row>
    <row r="6048" spans="8:8" x14ac:dyDescent="0.4">
      <c r="H6048" s="1"/>
    </row>
    <row r="6049" spans="8:8" x14ac:dyDescent="0.4">
      <c r="H6049" s="1"/>
    </row>
    <row r="6050" spans="8:8" x14ac:dyDescent="0.4">
      <c r="H6050" s="1"/>
    </row>
    <row r="6051" spans="8:8" x14ac:dyDescent="0.4">
      <c r="H6051" s="1"/>
    </row>
    <row r="6052" spans="8:8" x14ac:dyDescent="0.4">
      <c r="H6052" s="1"/>
    </row>
    <row r="6053" spans="8:8" x14ac:dyDescent="0.4">
      <c r="H6053" s="1"/>
    </row>
    <row r="6054" spans="8:8" x14ac:dyDescent="0.4">
      <c r="H6054" s="1"/>
    </row>
    <row r="6055" spans="8:8" x14ac:dyDescent="0.4">
      <c r="H6055" s="1"/>
    </row>
    <row r="6056" spans="8:8" x14ac:dyDescent="0.4">
      <c r="H6056" s="1"/>
    </row>
    <row r="6057" spans="8:8" x14ac:dyDescent="0.4">
      <c r="H6057" s="1"/>
    </row>
    <row r="6058" spans="8:8" x14ac:dyDescent="0.4">
      <c r="H6058" s="1"/>
    </row>
    <row r="6059" spans="8:8" x14ac:dyDescent="0.4">
      <c r="H6059" s="1"/>
    </row>
    <row r="6060" spans="8:8" x14ac:dyDescent="0.4">
      <c r="H6060" s="1"/>
    </row>
    <row r="6061" spans="8:8" x14ac:dyDescent="0.4">
      <c r="H6061" s="1"/>
    </row>
    <row r="6062" spans="8:8" x14ac:dyDescent="0.4">
      <c r="H6062" s="1"/>
    </row>
    <row r="6063" spans="8:8" x14ac:dyDescent="0.4">
      <c r="H6063" s="1"/>
    </row>
    <row r="6064" spans="8:8" x14ac:dyDescent="0.4">
      <c r="H6064" s="1"/>
    </row>
    <row r="6065" spans="8:8" x14ac:dyDescent="0.4">
      <c r="H6065" s="1"/>
    </row>
    <row r="6066" spans="8:8" x14ac:dyDescent="0.4">
      <c r="H6066" s="1"/>
    </row>
    <row r="6067" spans="8:8" x14ac:dyDescent="0.4">
      <c r="H6067" s="1"/>
    </row>
    <row r="6068" spans="8:8" x14ac:dyDescent="0.4">
      <c r="H6068" s="1"/>
    </row>
    <row r="6069" spans="8:8" x14ac:dyDescent="0.4">
      <c r="H6069" s="1"/>
    </row>
    <row r="6070" spans="8:8" x14ac:dyDescent="0.4">
      <c r="H6070" s="1"/>
    </row>
    <row r="6071" spans="8:8" x14ac:dyDescent="0.4">
      <c r="H6071" s="1"/>
    </row>
    <row r="6072" spans="8:8" x14ac:dyDescent="0.4">
      <c r="H6072" s="1"/>
    </row>
    <row r="6073" spans="8:8" x14ac:dyDescent="0.4">
      <c r="H6073" s="1"/>
    </row>
    <row r="6074" spans="8:8" x14ac:dyDescent="0.4">
      <c r="H6074" s="1"/>
    </row>
    <row r="6075" spans="8:8" x14ac:dyDescent="0.4">
      <c r="H6075" s="1"/>
    </row>
    <row r="6076" spans="8:8" x14ac:dyDescent="0.4">
      <c r="H6076" s="1"/>
    </row>
    <row r="6077" spans="8:8" x14ac:dyDescent="0.4">
      <c r="H6077" s="1"/>
    </row>
    <row r="6078" spans="8:8" x14ac:dyDescent="0.4">
      <c r="H6078" s="1"/>
    </row>
    <row r="6079" spans="8:8" x14ac:dyDescent="0.4">
      <c r="H6079" s="1"/>
    </row>
    <row r="6080" spans="8:8" x14ac:dyDescent="0.4">
      <c r="H6080" s="1"/>
    </row>
    <row r="6081" spans="8:8" x14ac:dyDescent="0.4">
      <c r="H6081" s="1"/>
    </row>
    <row r="6082" spans="8:8" x14ac:dyDescent="0.4">
      <c r="H6082" s="1"/>
    </row>
    <row r="6083" spans="8:8" x14ac:dyDescent="0.4">
      <c r="H6083" s="1"/>
    </row>
    <row r="6084" spans="8:8" x14ac:dyDescent="0.4">
      <c r="H6084" s="1"/>
    </row>
    <row r="6085" spans="8:8" x14ac:dyDescent="0.4">
      <c r="H6085" s="1"/>
    </row>
    <row r="6086" spans="8:8" x14ac:dyDescent="0.4">
      <c r="H6086" s="1"/>
    </row>
    <row r="6087" spans="8:8" x14ac:dyDescent="0.4">
      <c r="H6087" s="1"/>
    </row>
    <row r="6088" spans="8:8" x14ac:dyDescent="0.4">
      <c r="H6088" s="1"/>
    </row>
    <row r="6089" spans="8:8" x14ac:dyDescent="0.4">
      <c r="H6089" s="1"/>
    </row>
    <row r="6090" spans="8:8" x14ac:dyDescent="0.4">
      <c r="H6090" s="1"/>
    </row>
    <row r="6091" spans="8:8" x14ac:dyDescent="0.4">
      <c r="H6091" s="1"/>
    </row>
    <row r="6092" spans="8:8" x14ac:dyDescent="0.4">
      <c r="H6092" s="1"/>
    </row>
    <row r="6093" spans="8:8" x14ac:dyDescent="0.4">
      <c r="H6093" s="1"/>
    </row>
    <row r="6094" spans="8:8" x14ac:dyDescent="0.4">
      <c r="H6094" s="1"/>
    </row>
    <row r="6095" spans="8:8" x14ac:dyDescent="0.4">
      <c r="H6095" s="1"/>
    </row>
    <row r="6096" spans="8:8" x14ac:dyDescent="0.4">
      <c r="H6096" s="1"/>
    </row>
    <row r="6097" spans="8:8" x14ac:dyDescent="0.4">
      <c r="H6097" s="1"/>
    </row>
    <row r="6098" spans="8:8" x14ac:dyDescent="0.4">
      <c r="H6098" s="1"/>
    </row>
    <row r="6099" spans="8:8" x14ac:dyDescent="0.4">
      <c r="H6099" s="1"/>
    </row>
    <row r="6100" spans="8:8" x14ac:dyDescent="0.4">
      <c r="H6100" s="1"/>
    </row>
    <row r="6101" spans="8:8" x14ac:dyDescent="0.4">
      <c r="H6101" s="1"/>
    </row>
    <row r="6102" spans="8:8" x14ac:dyDescent="0.4">
      <c r="H6102" s="1"/>
    </row>
    <row r="6103" spans="8:8" x14ac:dyDescent="0.4">
      <c r="H6103" s="1"/>
    </row>
    <row r="6104" spans="8:8" x14ac:dyDescent="0.4">
      <c r="H6104" s="1"/>
    </row>
    <row r="6105" spans="8:8" x14ac:dyDescent="0.4">
      <c r="H6105" s="1"/>
    </row>
    <row r="6106" spans="8:8" x14ac:dyDescent="0.4">
      <c r="H6106" s="1"/>
    </row>
    <row r="6107" spans="8:8" x14ac:dyDescent="0.4">
      <c r="H6107" s="1"/>
    </row>
    <row r="6108" spans="8:8" x14ac:dyDescent="0.4">
      <c r="H6108" s="1"/>
    </row>
    <row r="6109" spans="8:8" x14ac:dyDescent="0.4">
      <c r="H6109" s="1"/>
    </row>
    <row r="6110" spans="8:8" x14ac:dyDescent="0.4">
      <c r="H6110" s="1"/>
    </row>
    <row r="6111" spans="8:8" x14ac:dyDescent="0.4">
      <c r="H6111" s="1"/>
    </row>
    <row r="6112" spans="8:8" x14ac:dyDescent="0.4">
      <c r="H6112" s="1"/>
    </row>
    <row r="6113" spans="8:8" x14ac:dyDescent="0.4">
      <c r="H6113" s="1"/>
    </row>
    <row r="6114" spans="8:8" x14ac:dyDescent="0.4">
      <c r="H6114" s="1"/>
    </row>
    <row r="6115" spans="8:8" x14ac:dyDescent="0.4">
      <c r="H6115" s="1"/>
    </row>
    <row r="6116" spans="8:8" x14ac:dyDescent="0.4">
      <c r="H6116" s="1"/>
    </row>
    <row r="6117" spans="8:8" x14ac:dyDescent="0.4">
      <c r="H6117" s="1"/>
    </row>
    <row r="6118" spans="8:8" x14ac:dyDescent="0.4">
      <c r="H6118" s="1"/>
    </row>
    <row r="6119" spans="8:8" x14ac:dyDescent="0.4">
      <c r="H6119" s="1"/>
    </row>
    <row r="6120" spans="8:8" x14ac:dyDescent="0.4">
      <c r="H6120" s="1"/>
    </row>
    <row r="6121" spans="8:8" x14ac:dyDescent="0.4">
      <c r="H6121" s="1"/>
    </row>
    <row r="6122" spans="8:8" x14ac:dyDescent="0.4">
      <c r="H6122" s="1"/>
    </row>
    <row r="6123" spans="8:8" x14ac:dyDescent="0.4">
      <c r="H6123" s="1"/>
    </row>
    <row r="6124" spans="8:8" x14ac:dyDescent="0.4">
      <c r="H6124" s="1"/>
    </row>
    <row r="6125" spans="8:8" x14ac:dyDescent="0.4">
      <c r="H6125" s="1"/>
    </row>
    <row r="6126" spans="8:8" x14ac:dyDescent="0.4">
      <c r="H6126" s="1"/>
    </row>
    <row r="6127" spans="8:8" x14ac:dyDescent="0.4">
      <c r="H6127" s="1"/>
    </row>
    <row r="6128" spans="8:8" x14ac:dyDescent="0.4">
      <c r="H6128" s="1"/>
    </row>
    <row r="6129" spans="8:8" x14ac:dyDescent="0.4">
      <c r="H6129" s="1"/>
    </row>
    <row r="6130" spans="8:8" x14ac:dyDescent="0.4">
      <c r="H6130" s="1"/>
    </row>
    <row r="6131" spans="8:8" x14ac:dyDescent="0.4">
      <c r="H6131" s="1"/>
    </row>
    <row r="6132" spans="8:8" x14ac:dyDescent="0.4">
      <c r="H6132" s="1"/>
    </row>
    <row r="6133" spans="8:8" x14ac:dyDescent="0.4">
      <c r="H6133" s="1"/>
    </row>
    <row r="6134" spans="8:8" x14ac:dyDescent="0.4">
      <c r="H6134" s="1"/>
    </row>
    <row r="6135" spans="8:8" x14ac:dyDescent="0.4">
      <c r="H6135" s="1"/>
    </row>
    <row r="6136" spans="8:8" x14ac:dyDescent="0.4">
      <c r="H6136" s="1"/>
    </row>
    <row r="6137" spans="8:8" x14ac:dyDescent="0.4">
      <c r="H6137" s="1"/>
    </row>
    <row r="6138" spans="8:8" x14ac:dyDescent="0.4">
      <c r="H6138" s="1"/>
    </row>
    <row r="6139" spans="8:8" x14ac:dyDescent="0.4">
      <c r="H6139" s="1"/>
    </row>
    <row r="6140" spans="8:8" x14ac:dyDescent="0.4">
      <c r="H6140" s="1"/>
    </row>
    <row r="6141" spans="8:8" x14ac:dyDescent="0.4">
      <c r="H6141" s="1"/>
    </row>
    <row r="6142" spans="8:8" x14ac:dyDescent="0.4">
      <c r="H6142" s="1"/>
    </row>
    <row r="6143" spans="8:8" x14ac:dyDescent="0.4">
      <c r="H6143" s="1"/>
    </row>
    <row r="6144" spans="8:8" x14ac:dyDescent="0.4">
      <c r="H6144" s="1"/>
    </row>
    <row r="6145" spans="8:8" x14ac:dyDescent="0.4">
      <c r="H6145" s="1"/>
    </row>
    <row r="6146" spans="8:8" x14ac:dyDescent="0.4">
      <c r="H6146" s="1"/>
    </row>
    <row r="6147" spans="8:8" x14ac:dyDescent="0.4">
      <c r="H6147" s="1"/>
    </row>
    <row r="6148" spans="8:8" x14ac:dyDescent="0.4">
      <c r="H6148" s="1"/>
    </row>
    <row r="6149" spans="8:8" x14ac:dyDescent="0.4">
      <c r="H6149" s="1"/>
    </row>
    <row r="6150" spans="8:8" x14ac:dyDescent="0.4">
      <c r="H6150" s="1"/>
    </row>
    <row r="6151" spans="8:8" x14ac:dyDescent="0.4">
      <c r="H6151" s="1"/>
    </row>
    <row r="6152" spans="8:8" x14ac:dyDescent="0.4">
      <c r="H6152" s="1"/>
    </row>
    <row r="6153" spans="8:8" x14ac:dyDescent="0.4">
      <c r="H6153" s="1"/>
    </row>
    <row r="6154" spans="8:8" x14ac:dyDescent="0.4">
      <c r="H6154" s="1"/>
    </row>
    <row r="6155" spans="8:8" x14ac:dyDescent="0.4">
      <c r="H6155" s="1"/>
    </row>
    <row r="6156" spans="8:8" x14ac:dyDescent="0.4">
      <c r="H6156" s="1"/>
    </row>
    <row r="6157" spans="8:8" x14ac:dyDescent="0.4">
      <c r="H6157" s="1"/>
    </row>
    <row r="6158" spans="8:8" x14ac:dyDescent="0.4">
      <c r="H6158" s="1"/>
    </row>
    <row r="6159" spans="8:8" x14ac:dyDescent="0.4">
      <c r="H6159" s="1"/>
    </row>
    <row r="6160" spans="8:8" x14ac:dyDescent="0.4">
      <c r="H6160" s="1"/>
    </row>
    <row r="6161" spans="8:8" x14ac:dyDescent="0.4">
      <c r="H6161" s="1"/>
    </row>
    <row r="6162" spans="8:8" x14ac:dyDescent="0.4">
      <c r="H6162" s="1"/>
    </row>
    <row r="6163" spans="8:8" x14ac:dyDescent="0.4">
      <c r="H6163" s="1"/>
    </row>
    <row r="6164" spans="8:8" x14ac:dyDescent="0.4">
      <c r="H6164" s="1"/>
    </row>
    <row r="6165" spans="8:8" x14ac:dyDescent="0.4">
      <c r="H6165" s="1"/>
    </row>
    <row r="6166" spans="8:8" x14ac:dyDescent="0.4">
      <c r="H6166" s="1"/>
    </row>
    <row r="6167" spans="8:8" x14ac:dyDescent="0.4">
      <c r="H6167" s="1"/>
    </row>
    <row r="6168" spans="8:8" x14ac:dyDescent="0.4">
      <c r="H6168" s="1"/>
    </row>
    <row r="6169" spans="8:8" x14ac:dyDescent="0.4">
      <c r="H6169" s="1"/>
    </row>
    <row r="6170" spans="8:8" x14ac:dyDescent="0.4">
      <c r="H6170" s="1"/>
    </row>
    <row r="6171" spans="8:8" x14ac:dyDescent="0.4">
      <c r="H6171" s="1"/>
    </row>
    <row r="6172" spans="8:8" x14ac:dyDescent="0.4">
      <c r="H6172" s="1"/>
    </row>
    <row r="6173" spans="8:8" x14ac:dyDescent="0.4">
      <c r="H6173" s="1"/>
    </row>
    <row r="6174" spans="8:8" x14ac:dyDescent="0.4">
      <c r="H6174" s="1"/>
    </row>
    <row r="6175" spans="8:8" x14ac:dyDescent="0.4">
      <c r="H6175" s="1"/>
    </row>
    <row r="6176" spans="8:8" x14ac:dyDescent="0.4">
      <c r="H6176" s="1"/>
    </row>
    <row r="6177" spans="8:8" x14ac:dyDescent="0.4">
      <c r="H6177" s="1"/>
    </row>
    <row r="6178" spans="8:8" x14ac:dyDescent="0.4">
      <c r="H6178" s="1"/>
    </row>
    <row r="6179" spans="8:8" x14ac:dyDescent="0.4">
      <c r="H6179" s="1"/>
    </row>
    <row r="6180" spans="8:8" x14ac:dyDescent="0.4">
      <c r="H6180" s="1"/>
    </row>
    <row r="6181" spans="8:8" x14ac:dyDescent="0.4">
      <c r="H6181" s="1"/>
    </row>
    <row r="6182" spans="8:8" x14ac:dyDescent="0.4">
      <c r="H6182" s="1"/>
    </row>
    <row r="6183" spans="8:8" x14ac:dyDescent="0.4">
      <c r="H6183" s="1"/>
    </row>
    <row r="6184" spans="8:8" x14ac:dyDescent="0.4">
      <c r="H6184" s="1"/>
    </row>
    <row r="6185" spans="8:8" x14ac:dyDescent="0.4">
      <c r="H6185" s="1"/>
    </row>
    <row r="6186" spans="8:8" x14ac:dyDescent="0.4">
      <c r="H6186" s="1"/>
    </row>
    <row r="6187" spans="8:8" x14ac:dyDescent="0.4">
      <c r="H6187" s="1"/>
    </row>
    <row r="6188" spans="8:8" x14ac:dyDescent="0.4">
      <c r="H6188" s="1"/>
    </row>
    <row r="6189" spans="8:8" x14ac:dyDescent="0.4">
      <c r="H6189" s="1"/>
    </row>
    <row r="6190" spans="8:8" x14ac:dyDescent="0.4">
      <c r="H6190" s="1"/>
    </row>
    <row r="6191" spans="8:8" x14ac:dyDescent="0.4">
      <c r="H6191" s="1"/>
    </row>
    <row r="6192" spans="8:8" x14ac:dyDescent="0.4">
      <c r="H6192" s="1"/>
    </row>
    <row r="6193" spans="8:8" x14ac:dyDescent="0.4">
      <c r="H6193" s="1"/>
    </row>
    <row r="6194" spans="8:8" x14ac:dyDescent="0.4">
      <c r="H6194" s="1"/>
    </row>
    <row r="6195" spans="8:8" x14ac:dyDescent="0.4">
      <c r="H6195" s="1"/>
    </row>
    <row r="6196" spans="8:8" x14ac:dyDescent="0.4">
      <c r="H6196" s="1"/>
    </row>
    <row r="6197" spans="8:8" x14ac:dyDescent="0.4">
      <c r="H6197" s="1"/>
    </row>
    <row r="6198" spans="8:8" x14ac:dyDescent="0.4">
      <c r="H6198" s="1"/>
    </row>
    <row r="6199" spans="8:8" x14ac:dyDescent="0.4">
      <c r="H6199" s="1"/>
    </row>
    <row r="6200" spans="8:8" x14ac:dyDescent="0.4">
      <c r="H6200" s="1"/>
    </row>
    <row r="6201" spans="8:8" x14ac:dyDescent="0.4">
      <c r="H6201" s="1"/>
    </row>
    <row r="6202" spans="8:8" x14ac:dyDescent="0.4">
      <c r="H6202" s="1"/>
    </row>
    <row r="6203" spans="8:8" x14ac:dyDescent="0.4">
      <c r="H6203" s="1"/>
    </row>
    <row r="6204" spans="8:8" x14ac:dyDescent="0.4">
      <c r="H6204" s="1"/>
    </row>
    <row r="6205" spans="8:8" x14ac:dyDescent="0.4">
      <c r="H6205" s="1"/>
    </row>
    <row r="6206" spans="8:8" x14ac:dyDescent="0.4">
      <c r="H6206" s="1"/>
    </row>
    <row r="6207" spans="8:8" x14ac:dyDescent="0.4">
      <c r="H6207" s="1"/>
    </row>
    <row r="6208" spans="8:8" x14ac:dyDescent="0.4">
      <c r="H6208" s="1"/>
    </row>
    <row r="6209" spans="8:8" x14ac:dyDescent="0.4">
      <c r="H6209" s="1"/>
    </row>
    <row r="6210" spans="8:8" x14ac:dyDescent="0.4">
      <c r="H6210" s="1"/>
    </row>
    <row r="6211" spans="8:8" x14ac:dyDescent="0.4">
      <c r="H6211" s="1"/>
    </row>
    <row r="6212" spans="8:8" x14ac:dyDescent="0.4">
      <c r="H6212" s="1"/>
    </row>
    <row r="6213" spans="8:8" x14ac:dyDescent="0.4">
      <c r="H6213" s="1"/>
    </row>
    <row r="6214" spans="8:8" x14ac:dyDescent="0.4">
      <c r="H6214" s="1"/>
    </row>
    <row r="6215" spans="8:8" x14ac:dyDescent="0.4">
      <c r="H6215" s="1"/>
    </row>
    <row r="6216" spans="8:8" x14ac:dyDescent="0.4">
      <c r="H6216" s="1"/>
    </row>
    <row r="6217" spans="8:8" x14ac:dyDescent="0.4">
      <c r="H6217" s="1"/>
    </row>
    <row r="6218" spans="8:8" x14ac:dyDescent="0.4">
      <c r="H6218" s="1"/>
    </row>
    <row r="6219" spans="8:8" x14ac:dyDescent="0.4">
      <c r="H6219" s="1"/>
    </row>
    <row r="6220" spans="8:8" x14ac:dyDescent="0.4">
      <c r="H6220" s="1"/>
    </row>
    <row r="6221" spans="8:8" x14ac:dyDescent="0.4">
      <c r="H6221" s="1"/>
    </row>
    <row r="6222" spans="8:8" x14ac:dyDescent="0.4">
      <c r="H6222" s="1"/>
    </row>
    <row r="6223" spans="8:8" x14ac:dyDescent="0.4">
      <c r="H6223" s="1"/>
    </row>
    <row r="6224" spans="8:8" x14ac:dyDescent="0.4">
      <c r="H6224" s="1"/>
    </row>
    <row r="6225" spans="8:8" x14ac:dyDescent="0.4">
      <c r="H6225" s="1"/>
    </row>
    <row r="6226" spans="8:8" x14ac:dyDescent="0.4">
      <c r="H6226" s="1"/>
    </row>
    <row r="6227" spans="8:8" x14ac:dyDescent="0.4">
      <c r="H6227" s="1"/>
    </row>
    <row r="6228" spans="8:8" x14ac:dyDescent="0.4">
      <c r="H6228" s="1"/>
    </row>
    <row r="6229" spans="8:8" x14ac:dyDescent="0.4">
      <c r="H6229" s="1"/>
    </row>
    <row r="6230" spans="8:8" x14ac:dyDescent="0.4">
      <c r="H6230" s="1"/>
    </row>
    <row r="6231" spans="8:8" x14ac:dyDescent="0.4">
      <c r="H6231" s="1"/>
    </row>
    <row r="6232" spans="8:8" x14ac:dyDescent="0.4">
      <c r="H6232" s="1"/>
    </row>
    <row r="6233" spans="8:8" x14ac:dyDescent="0.4">
      <c r="H6233" s="1"/>
    </row>
    <row r="6234" spans="8:8" x14ac:dyDescent="0.4">
      <c r="H6234" s="1"/>
    </row>
    <row r="6235" spans="8:8" x14ac:dyDescent="0.4">
      <c r="H6235" s="1"/>
    </row>
    <row r="6236" spans="8:8" x14ac:dyDescent="0.4">
      <c r="H6236" s="1"/>
    </row>
    <row r="6237" spans="8:8" x14ac:dyDescent="0.4">
      <c r="H6237" s="1"/>
    </row>
    <row r="6238" spans="8:8" x14ac:dyDescent="0.4">
      <c r="H6238" s="1"/>
    </row>
    <row r="6239" spans="8:8" x14ac:dyDescent="0.4">
      <c r="H6239" s="1"/>
    </row>
    <row r="6240" spans="8:8" x14ac:dyDescent="0.4">
      <c r="H6240" s="1"/>
    </row>
    <row r="6241" spans="8:8" x14ac:dyDescent="0.4">
      <c r="H6241" s="1"/>
    </row>
    <row r="6242" spans="8:8" x14ac:dyDescent="0.4">
      <c r="H6242" s="1"/>
    </row>
    <row r="6243" spans="8:8" x14ac:dyDescent="0.4">
      <c r="H6243" s="1"/>
    </row>
    <row r="6244" spans="8:8" x14ac:dyDescent="0.4">
      <c r="H6244" s="1"/>
    </row>
    <row r="6245" spans="8:8" x14ac:dyDescent="0.4">
      <c r="H6245" s="1"/>
    </row>
    <row r="6246" spans="8:8" x14ac:dyDescent="0.4">
      <c r="H6246" s="1"/>
    </row>
    <row r="6247" spans="8:8" x14ac:dyDescent="0.4">
      <c r="H6247" s="1"/>
    </row>
    <row r="6248" spans="8:8" x14ac:dyDescent="0.4">
      <c r="H6248" s="1"/>
    </row>
    <row r="6249" spans="8:8" x14ac:dyDescent="0.4">
      <c r="H6249" s="1"/>
    </row>
    <row r="6250" spans="8:8" x14ac:dyDescent="0.4">
      <c r="H6250" s="1"/>
    </row>
    <row r="6251" spans="8:8" x14ac:dyDescent="0.4">
      <c r="H6251" s="1"/>
    </row>
    <row r="6252" spans="8:8" x14ac:dyDescent="0.4">
      <c r="H6252" s="1"/>
    </row>
    <row r="6253" spans="8:8" x14ac:dyDescent="0.4">
      <c r="H6253" s="1"/>
    </row>
    <row r="6254" spans="8:8" x14ac:dyDescent="0.4">
      <c r="H6254" s="1"/>
    </row>
    <row r="6255" spans="8:8" x14ac:dyDescent="0.4">
      <c r="H6255" s="1"/>
    </row>
    <row r="6256" spans="8:8" x14ac:dyDescent="0.4">
      <c r="H6256" s="1"/>
    </row>
    <row r="6257" spans="8:8" x14ac:dyDescent="0.4">
      <c r="H6257" s="1"/>
    </row>
    <row r="6258" spans="8:8" x14ac:dyDescent="0.4">
      <c r="H6258" s="1"/>
    </row>
    <row r="6259" spans="8:8" x14ac:dyDescent="0.4">
      <c r="H6259" s="1"/>
    </row>
    <row r="6260" spans="8:8" x14ac:dyDescent="0.4">
      <c r="H6260" s="1"/>
    </row>
    <row r="6261" spans="8:8" x14ac:dyDescent="0.4">
      <c r="H6261" s="1"/>
    </row>
    <row r="6262" spans="8:8" x14ac:dyDescent="0.4">
      <c r="H6262" s="1"/>
    </row>
    <row r="6263" spans="8:8" x14ac:dyDescent="0.4">
      <c r="H6263" s="1"/>
    </row>
    <row r="6264" spans="8:8" x14ac:dyDescent="0.4">
      <c r="H6264" s="1"/>
    </row>
    <row r="6265" spans="8:8" x14ac:dyDescent="0.4">
      <c r="H6265" s="1"/>
    </row>
    <row r="6266" spans="8:8" x14ac:dyDescent="0.4">
      <c r="H6266" s="1"/>
    </row>
    <row r="6267" spans="8:8" x14ac:dyDescent="0.4">
      <c r="H6267" s="1"/>
    </row>
    <row r="6268" spans="8:8" x14ac:dyDescent="0.4">
      <c r="H6268" s="1"/>
    </row>
    <row r="6269" spans="8:8" x14ac:dyDescent="0.4">
      <c r="H6269" s="1"/>
    </row>
    <row r="6270" spans="8:8" x14ac:dyDescent="0.4">
      <c r="H6270" s="1"/>
    </row>
    <row r="6271" spans="8:8" x14ac:dyDescent="0.4">
      <c r="H6271" s="1"/>
    </row>
    <row r="6272" spans="8:8" x14ac:dyDescent="0.4">
      <c r="H6272" s="1"/>
    </row>
    <row r="6273" spans="8:8" x14ac:dyDescent="0.4">
      <c r="H6273" s="1"/>
    </row>
    <row r="6274" spans="8:8" x14ac:dyDescent="0.4">
      <c r="H6274" s="1"/>
    </row>
    <row r="6275" spans="8:8" x14ac:dyDescent="0.4">
      <c r="H6275" s="1"/>
    </row>
    <row r="6276" spans="8:8" x14ac:dyDescent="0.4">
      <c r="H6276" s="1"/>
    </row>
    <row r="6277" spans="8:8" x14ac:dyDescent="0.4">
      <c r="H6277" s="1"/>
    </row>
    <row r="6278" spans="8:8" x14ac:dyDescent="0.4">
      <c r="H6278" s="1"/>
    </row>
    <row r="6279" spans="8:8" x14ac:dyDescent="0.4">
      <c r="H6279" s="1"/>
    </row>
    <row r="6280" spans="8:8" x14ac:dyDescent="0.4">
      <c r="H6280" s="1"/>
    </row>
    <row r="6281" spans="8:8" x14ac:dyDescent="0.4">
      <c r="H6281" s="1"/>
    </row>
    <row r="6282" spans="8:8" x14ac:dyDescent="0.4">
      <c r="H6282" s="1"/>
    </row>
    <row r="6283" spans="8:8" x14ac:dyDescent="0.4">
      <c r="H6283" s="1"/>
    </row>
    <row r="6284" spans="8:8" x14ac:dyDescent="0.4">
      <c r="H6284" s="1"/>
    </row>
    <row r="6285" spans="8:8" x14ac:dyDescent="0.4">
      <c r="H6285" s="1"/>
    </row>
    <row r="6286" spans="8:8" x14ac:dyDescent="0.4">
      <c r="H6286" s="1"/>
    </row>
    <row r="6287" spans="8:8" x14ac:dyDescent="0.4">
      <c r="H6287" s="1"/>
    </row>
    <row r="6288" spans="8:8" x14ac:dyDescent="0.4">
      <c r="H6288" s="1"/>
    </row>
    <row r="6289" spans="8:8" x14ac:dyDescent="0.4">
      <c r="H6289" s="1"/>
    </row>
    <row r="6290" spans="8:8" x14ac:dyDescent="0.4">
      <c r="H6290" s="1"/>
    </row>
    <row r="6291" spans="8:8" x14ac:dyDescent="0.4">
      <c r="H6291" s="1"/>
    </row>
    <row r="6292" spans="8:8" x14ac:dyDescent="0.4">
      <c r="H6292" s="1"/>
    </row>
    <row r="6293" spans="8:8" x14ac:dyDescent="0.4">
      <c r="H6293" s="1"/>
    </row>
    <row r="6294" spans="8:8" x14ac:dyDescent="0.4">
      <c r="H6294" s="1"/>
    </row>
    <row r="6295" spans="8:8" x14ac:dyDescent="0.4">
      <c r="H6295" s="1"/>
    </row>
    <row r="6296" spans="8:8" x14ac:dyDescent="0.4">
      <c r="H6296" s="1"/>
    </row>
    <row r="6297" spans="8:8" x14ac:dyDescent="0.4">
      <c r="H6297" s="1"/>
    </row>
    <row r="6298" spans="8:8" x14ac:dyDescent="0.4">
      <c r="H6298" s="1"/>
    </row>
    <row r="6299" spans="8:8" x14ac:dyDescent="0.4">
      <c r="H6299" s="1"/>
    </row>
    <row r="6300" spans="8:8" x14ac:dyDescent="0.4">
      <c r="H6300" s="1"/>
    </row>
    <row r="6301" spans="8:8" x14ac:dyDescent="0.4">
      <c r="H6301" s="1"/>
    </row>
    <row r="6302" spans="8:8" x14ac:dyDescent="0.4">
      <c r="H6302" s="1"/>
    </row>
    <row r="6303" spans="8:8" x14ac:dyDescent="0.4">
      <c r="H6303" s="1"/>
    </row>
    <row r="6304" spans="8:8" x14ac:dyDescent="0.4">
      <c r="H6304" s="1"/>
    </row>
    <row r="6305" spans="8:8" x14ac:dyDescent="0.4">
      <c r="H6305" s="1"/>
    </row>
    <row r="6306" spans="8:8" x14ac:dyDescent="0.4">
      <c r="H6306" s="1"/>
    </row>
    <row r="6307" spans="8:8" x14ac:dyDescent="0.4">
      <c r="H6307" s="1"/>
    </row>
    <row r="6308" spans="8:8" x14ac:dyDescent="0.4">
      <c r="H6308" s="1"/>
    </row>
    <row r="6309" spans="8:8" x14ac:dyDescent="0.4">
      <c r="H6309" s="1"/>
    </row>
    <row r="6310" spans="8:8" x14ac:dyDescent="0.4">
      <c r="H6310" s="1"/>
    </row>
    <row r="6311" spans="8:8" x14ac:dyDescent="0.4">
      <c r="H6311" s="1"/>
    </row>
    <row r="6312" spans="8:8" x14ac:dyDescent="0.4">
      <c r="H6312" s="1"/>
    </row>
    <row r="6313" spans="8:8" x14ac:dyDescent="0.4">
      <c r="H6313" s="1"/>
    </row>
    <row r="6314" spans="8:8" x14ac:dyDescent="0.4">
      <c r="H6314" s="1"/>
    </row>
    <row r="6315" spans="8:8" x14ac:dyDescent="0.4">
      <c r="H6315" s="1"/>
    </row>
    <row r="6316" spans="8:8" x14ac:dyDescent="0.4">
      <c r="H6316" s="1"/>
    </row>
    <row r="6317" spans="8:8" x14ac:dyDescent="0.4">
      <c r="H6317" s="1"/>
    </row>
    <row r="6318" spans="8:8" x14ac:dyDescent="0.4">
      <c r="H6318" s="1"/>
    </row>
    <row r="6319" spans="8:8" x14ac:dyDescent="0.4">
      <c r="H6319" s="1"/>
    </row>
    <row r="6320" spans="8:8" x14ac:dyDescent="0.4">
      <c r="H6320" s="1"/>
    </row>
    <row r="6321" spans="8:8" x14ac:dyDescent="0.4">
      <c r="H6321" s="1"/>
    </row>
    <row r="6322" spans="8:8" x14ac:dyDescent="0.4">
      <c r="H6322" s="1"/>
    </row>
    <row r="6323" spans="8:8" x14ac:dyDescent="0.4">
      <c r="H6323" s="1"/>
    </row>
    <row r="6324" spans="8:8" x14ac:dyDescent="0.4">
      <c r="H6324" s="1"/>
    </row>
    <row r="6325" spans="8:8" x14ac:dyDescent="0.4">
      <c r="H6325" s="1"/>
    </row>
    <row r="6326" spans="8:8" x14ac:dyDescent="0.4">
      <c r="H6326" s="1"/>
    </row>
    <row r="6327" spans="8:8" x14ac:dyDescent="0.4">
      <c r="H6327" s="1"/>
    </row>
    <row r="6328" spans="8:8" x14ac:dyDescent="0.4">
      <c r="H6328" s="1"/>
    </row>
    <row r="6329" spans="8:8" x14ac:dyDescent="0.4">
      <c r="H6329" s="1"/>
    </row>
    <row r="6330" spans="8:8" x14ac:dyDescent="0.4">
      <c r="H6330" s="1"/>
    </row>
    <row r="6331" spans="8:8" x14ac:dyDescent="0.4">
      <c r="H6331" s="1"/>
    </row>
    <row r="6332" spans="8:8" x14ac:dyDescent="0.4">
      <c r="H6332" s="1"/>
    </row>
    <row r="6333" spans="8:8" x14ac:dyDescent="0.4">
      <c r="H6333" s="1"/>
    </row>
    <row r="6334" spans="8:8" x14ac:dyDescent="0.4">
      <c r="H6334" s="1"/>
    </row>
    <row r="6335" spans="8:8" x14ac:dyDescent="0.4">
      <c r="H6335" s="1"/>
    </row>
    <row r="6336" spans="8:8" x14ac:dyDescent="0.4">
      <c r="H6336" s="1"/>
    </row>
    <row r="6337" spans="8:8" x14ac:dyDescent="0.4">
      <c r="H6337" s="1"/>
    </row>
    <row r="6338" spans="8:8" x14ac:dyDescent="0.4">
      <c r="H6338" s="1"/>
    </row>
    <row r="6339" spans="8:8" x14ac:dyDescent="0.4">
      <c r="H6339" s="1"/>
    </row>
    <row r="6340" spans="8:8" x14ac:dyDescent="0.4">
      <c r="H6340" s="1"/>
    </row>
    <row r="6341" spans="8:8" x14ac:dyDescent="0.4">
      <c r="H6341" s="1"/>
    </row>
    <row r="6342" spans="8:8" x14ac:dyDescent="0.4">
      <c r="H6342" s="1"/>
    </row>
    <row r="6343" spans="8:8" x14ac:dyDescent="0.4">
      <c r="H6343" s="1"/>
    </row>
    <row r="6344" spans="8:8" x14ac:dyDescent="0.4">
      <c r="H6344" s="1"/>
    </row>
    <row r="6345" spans="8:8" x14ac:dyDescent="0.4">
      <c r="H6345" s="1"/>
    </row>
    <row r="6346" spans="8:8" x14ac:dyDescent="0.4">
      <c r="H6346" s="1"/>
    </row>
    <row r="6347" spans="8:8" x14ac:dyDescent="0.4">
      <c r="H6347" s="1"/>
    </row>
    <row r="6348" spans="8:8" x14ac:dyDescent="0.4">
      <c r="H6348" s="1"/>
    </row>
    <row r="6349" spans="8:8" x14ac:dyDescent="0.4">
      <c r="H6349" s="1"/>
    </row>
    <row r="6350" spans="8:8" x14ac:dyDescent="0.4">
      <c r="H6350" s="1"/>
    </row>
    <row r="6351" spans="8:8" x14ac:dyDescent="0.4">
      <c r="H6351" s="1"/>
    </row>
    <row r="6352" spans="8:8" x14ac:dyDescent="0.4">
      <c r="H6352" s="1"/>
    </row>
    <row r="6353" spans="8:8" x14ac:dyDescent="0.4">
      <c r="H6353" s="1"/>
    </row>
    <row r="6354" spans="8:8" x14ac:dyDescent="0.4">
      <c r="H6354" s="1"/>
    </row>
    <row r="6355" spans="8:8" x14ac:dyDescent="0.4">
      <c r="H6355" s="1"/>
    </row>
    <row r="6356" spans="8:8" x14ac:dyDescent="0.4">
      <c r="H6356" s="1"/>
    </row>
    <row r="6357" spans="8:8" x14ac:dyDescent="0.4">
      <c r="H6357" s="1"/>
    </row>
    <row r="6358" spans="8:8" x14ac:dyDescent="0.4">
      <c r="H6358" s="1"/>
    </row>
    <row r="6359" spans="8:8" x14ac:dyDescent="0.4">
      <c r="H6359" s="1"/>
    </row>
    <row r="6360" spans="8:8" x14ac:dyDescent="0.4">
      <c r="H6360" s="1"/>
    </row>
    <row r="6361" spans="8:8" x14ac:dyDescent="0.4">
      <c r="H6361" s="1"/>
    </row>
    <row r="6362" spans="8:8" x14ac:dyDescent="0.4">
      <c r="H6362" s="1"/>
    </row>
    <row r="6363" spans="8:8" x14ac:dyDescent="0.4">
      <c r="H6363" s="1"/>
    </row>
    <row r="6364" spans="8:8" x14ac:dyDescent="0.4">
      <c r="H6364" s="1"/>
    </row>
    <row r="6365" spans="8:8" x14ac:dyDescent="0.4">
      <c r="H6365" s="1"/>
    </row>
    <row r="6366" spans="8:8" x14ac:dyDescent="0.4">
      <c r="H6366" s="1"/>
    </row>
    <row r="6367" spans="8:8" x14ac:dyDescent="0.4">
      <c r="H6367" s="1"/>
    </row>
    <row r="6368" spans="8:8" x14ac:dyDescent="0.4">
      <c r="H6368" s="1"/>
    </row>
    <row r="6369" spans="8:8" x14ac:dyDescent="0.4">
      <c r="H6369" s="1"/>
    </row>
    <row r="6370" spans="8:8" x14ac:dyDescent="0.4">
      <c r="H6370" s="1"/>
    </row>
    <row r="6371" spans="8:8" x14ac:dyDescent="0.4">
      <c r="H6371" s="1"/>
    </row>
    <row r="6372" spans="8:8" x14ac:dyDescent="0.4">
      <c r="H6372" s="1"/>
    </row>
    <row r="6373" spans="8:8" x14ac:dyDescent="0.4">
      <c r="H6373" s="1"/>
    </row>
    <row r="6374" spans="8:8" x14ac:dyDescent="0.4">
      <c r="H6374" s="1"/>
    </row>
    <row r="6375" spans="8:8" x14ac:dyDescent="0.4">
      <c r="H6375" s="1"/>
    </row>
    <row r="6376" spans="8:8" x14ac:dyDescent="0.4">
      <c r="H6376" s="1"/>
    </row>
    <row r="6377" spans="8:8" x14ac:dyDescent="0.4">
      <c r="H6377" s="1"/>
    </row>
    <row r="6378" spans="8:8" x14ac:dyDescent="0.4">
      <c r="H6378" s="1"/>
    </row>
    <row r="6379" spans="8:8" x14ac:dyDescent="0.4">
      <c r="H6379" s="1"/>
    </row>
    <row r="6380" spans="8:8" x14ac:dyDescent="0.4">
      <c r="H6380" s="1"/>
    </row>
    <row r="6381" spans="8:8" x14ac:dyDescent="0.4">
      <c r="H6381" s="1"/>
    </row>
    <row r="6382" spans="8:8" x14ac:dyDescent="0.4">
      <c r="H6382" s="1"/>
    </row>
    <row r="6383" spans="8:8" x14ac:dyDescent="0.4">
      <c r="H6383" s="1"/>
    </row>
    <row r="6384" spans="8:8" x14ac:dyDescent="0.4">
      <c r="H6384" s="1"/>
    </row>
    <row r="6385" spans="8:8" x14ac:dyDescent="0.4">
      <c r="H6385" s="1"/>
    </row>
    <row r="6386" spans="8:8" x14ac:dyDescent="0.4">
      <c r="H6386" s="1"/>
    </row>
    <row r="6387" spans="8:8" x14ac:dyDescent="0.4">
      <c r="H6387" s="1"/>
    </row>
    <row r="6388" spans="8:8" x14ac:dyDescent="0.4">
      <c r="H6388" s="1"/>
    </row>
    <row r="6389" spans="8:8" x14ac:dyDescent="0.4">
      <c r="H6389" s="1"/>
    </row>
    <row r="6390" spans="8:8" x14ac:dyDescent="0.4">
      <c r="H6390" s="1"/>
    </row>
    <row r="6391" spans="8:8" x14ac:dyDescent="0.4">
      <c r="H6391" s="1"/>
    </row>
    <row r="6392" spans="8:8" x14ac:dyDescent="0.4">
      <c r="H6392" s="1"/>
    </row>
    <row r="6393" spans="8:8" x14ac:dyDescent="0.4">
      <c r="H6393" s="1"/>
    </row>
    <row r="6394" spans="8:8" x14ac:dyDescent="0.4">
      <c r="H6394" s="1"/>
    </row>
    <row r="6395" spans="8:8" x14ac:dyDescent="0.4">
      <c r="H6395" s="1"/>
    </row>
    <row r="6396" spans="8:8" x14ac:dyDescent="0.4">
      <c r="H6396" s="1"/>
    </row>
    <row r="6397" spans="8:8" x14ac:dyDescent="0.4">
      <c r="H6397" s="1"/>
    </row>
    <row r="6398" spans="8:8" x14ac:dyDescent="0.4">
      <c r="H6398" s="1"/>
    </row>
    <row r="6399" spans="8:8" x14ac:dyDescent="0.4">
      <c r="H6399" s="1"/>
    </row>
    <row r="6400" spans="8:8" x14ac:dyDescent="0.4">
      <c r="H6400" s="1"/>
    </row>
    <row r="6401" spans="8:8" x14ac:dyDescent="0.4">
      <c r="H6401" s="1"/>
    </row>
    <row r="6402" spans="8:8" x14ac:dyDescent="0.4">
      <c r="H6402" s="1"/>
    </row>
    <row r="6403" spans="8:8" x14ac:dyDescent="0.4">
      <c r="H6403" s="1"/>
    </row>
    <row r="6404" spans="8:8" x14ac:dyDescent="0.4">
      <c r="H6404" s="1"/>
    </row>
    <row r="6405" spans="8:8" x14ac:dyDescent="0.4">
      <c r="H6405" s="1"/>
    </row>
    <row r="6406" spans="8:8" x14ac:dyDescent="0.4">
      <c r="H6406" s="1"/>
    </row>
    <row r="6407" spans="8:8" x14ac:dyDescent="0.4">
      <c r="H6407" s="1"/>
    </row>
    <row r="6408" spans="8:8" x14ac:dyDescent="0.4">
      <c r="H6408" s="1"/>
    </row>
    <row r="6409" spans="8:8" x14ac:dyDescent="0.4">
      <c r="H6409" s="1"/>
    </row>
    <row r="6410" spans="8:8" x14ac:dyDescent="0.4">
      <c r="H6410" s="1"/>
    </row>
    <row r="6411" spans="8:8" x14ac:dyDescent="0.4">
      <c r="H6411" s="1"/>
    </row>
    <row r="6412" spans="8:8" x14ac:dyDescent="0.4">
      <c r="H6412" s="1"/>
    </row>
    <row r="6413" spans="8:8" x14ac:dyDescent="0.4">
      <c r="H6413" s="1"/>
    </row>
    <row r="6414" spans="8:8" x14ac:dyDescent="0.4">
      <c r="H6414" s="1"/>
    </row>
    <row r="6415" spans="8:8" x14ac:dyDescent="0.4">
      <c r="H6415" s="1"/>
    </row>
    <row r="6416" spans="8:8" x14ac:dyDescent="0.4">
      <c r="H6416" s="1"/>
    </row>
    <row r="6417" spans="8:8" x14ac:dyDescent="0.4">
      <c r="H6417" s="1"/>
    </row>
    <row r="6418" spans="8:8" x14ac:dyDescent="0.4">
      <c r="H6418" s="1"/>
    </row>
    <row r="6419" spans="8:8" x14ac:dyDescent="0.4">
      <c r="H6419" s="1"/>
    </row>
    <row r="6420" spans="8:8" x14ac:dyDescent="0.4">
      <c r="H6420" s="1"/>
    </row>
    <row r="6421" spans="8:8" x14ac:dyDescent="0.4">
      <c r="H6421" s="1"/>
    </row>
    <row r="6422" spans="8:8" x14ac:dyDescent="0.4">
      <c r="H6422" s="1"/>
    </row>
    <row r="6423" spans="8:8" x14ac:dyDescent="0.4">
      <c r="H6423" s="1"/>
    </row>
    <row r="6424" spans="8:8" x14ac:dyDescent="0.4">
      <c r="H6424" s="1"/>
    </row>
    <row r="6425" spans="8:8" x14ac:dyDescent="0.4">
      <c r="H6425" s="1"/>
    </row>
    <row r="6426" spans="8:8" x14ac:dyDescent="0.4">
      <c r="H6426" s="1"/>
    </row>
    <row r="6427" spans="8:8" x14ac:dyDescent="0.4">
      <c r="H6427" s="1"/>
    </row>
    <row r="6428" spans="8:8" x14ac:dyDescent="0.4">
      <c r="H6428" s="1"/>
    </row>
    <row r="6429" spans="8:8" x14ac:dyDescent="0.4">
      <c r="H6429" s="1"/>
    </row>
    <row r="6430" spans="8:8" x14ac:dyDescent="0.4">
      <c r="H6430" s="1"/>
    </row>
    <row r="6431" spans="8:8" x14ac:dyDescent="0.4">
      <c r="H6431" s="1"/>
    </row>
    <row r="6432" spans="8:8" x14ac:dyDescent="0.4">
      <c r="H6432" s="1"/>
    </row>
    <row r="6433" spans="8:8" x14ac:dyDescent="0.4">
      <c r="H6433" s="1"/>
    </row>
    <row r="6434" spans="8:8" x14ac:dyDescent="0.4">
      <c r="H6434" s="1"/>
    </row>
    <row r="6435" spans="8:8" x14ac:dyDescent="0.4">
      <c r="H6435" s="1"/>
    </row>
    <row r="6436" spans="8:8" x14ac:dyDescent="0.4">
      <c r="H6436" s="1"/>
    </row>
    <row r="6437" spans="8:8" x14ac:dyDescent="0.4">
      <c r="H6437" s="1"/>
    </row>
    <row r="6438" spans="8:8" x14ac:dyDescent="0.4">
      <c r="H6438" s="1"/>
    </row>
    <row r="6439" spans="8:8" x14ac:dyDescent="0.4">
      <c r="H6439" s="1"/>
    </row>
    <row r="6440" spans="8:8" x14ac:dyDescent="0.4">
      <c r="H6440" s="1"/>
    </row>
    <row r="6441" spans="8:8" x14ac:dyDescent="0.4">
      <c r="H6441" s="1"/>
    </row>
    <row r="6442" spans="8:8" x14ac:dyDescent="0.4">
      <c r="H6442" s="1"/>
    </row>
    <row r="6443" spans="8:8" x14ac:dyDescent="0.4">
      <c r="H6443" s="1"/>
    </row>
    <row r="6444" spans="8:8" x14ac:dyDescent="0.4">
      <c r="H6444" s="1"/>
    </row>
    <row r="6445" spans="8:8" x14ac:dyDescent="0.4">
      <c r="H6445" s="1"/>
    </row>
    <row r="6446" spans="8:8" x14ac:dyDescent="0.4">
      <c r="H6446" s="1"/>
    </row>
    <row r="6447" spans="8:8" x14ac:dyDescent="0.4">
      <c r="H6447" s="1"/>
    </row>
    <row r="6448" spans="8:8" x14ac:dyDescent="0.4">
      <c r="H6448" s="1"/>
    </row>
    <row r="6449" spans="8:8" x14ac:dyDescent="0.4">
      <c r="H6449" s="1"/>
    </row>
    <row r="6450" spans="8:8" x14ac:dyDescent="0.4">
      <c r="H6450" s="1"/>
    </row>
    <row r="6451" spans="8:8" x14ac:dyDescent="0.4">
      <c r="H6451" s="1"/>
    </row>
    <row r="6452" spans="8:8" x14ac:dyDescent="0.4">
      <c r="H6452" s="1"/>
    </row>
    <row r="6453" spans="8:8" x14ac:dyDescent="0.4">
      <c r="H6453" s="1"/>
    </row>
    <row r="6454" spans="8:8" x14ac:dyDescent="0.4">
      <c r="H6454" s="1"/>
    </row>
    <row r="6455" spans="8:8" x14ac:dyDescent="0.4">
      <c r="H6455" s="1"/>
    </row>
    <row r="6456" spans="8:8" x14ac:dyDescent="0.4">
      <c r="H6456" s="1"/>
    </row>
    <row r="6457" spans="8:8" x14ac:dyDescent="0.4">
      <c r="H6457" s="1"/>
    </row>
    <row r="6458" spans="8:8" x14ac:dyDescent="0.4">
      <c r="H6458" s="1"/>
    </row>
    <row r="6459" spans="8:8" x14ac:dyDescent="0.4">
      <c r="H6459" s="1"/>
    </row>
    <row r="6460" spans="8:8" x14ac:dyDescent="0.4">
      <c r="H6460" s="1"/>
    </row>
    <row r="6461" spans="8:8" x14ac:dyDescent="0.4">
      <c r="H6461" s="1"/>
    </row>
    <row r="6462" spans="8:8" x14ac:dyDescent="0.4">
      <c r="H6462" s="1"/>
    </row>
    <row r="6463" spans="8:8" x14ac:dyDescent="0.4">
      <c r="H6463" s="1"/>
    </row>
    <row r="6464" spans="8:8" x14ac:dyDescent="0.4">
      <c r="H6464" s="1"/>
    </row>
    <row r="6465" spans="8:8" x14ac:dyDescent="0.4">
      <c r="H6465" s="1"/>
    </row>
    <row r="6466" spans="8:8" x14ac:dyDescent="0.4">
      <c r="H6466" s="1"/>
    </row>
    <row r="6467" spans="8:8" x14ac:dyDescent="0.4">
      <c r="H6467" s="1"/>
    </row>
    <row r="6468" spans="8:8" x14ac:dyDescent="0.4">
      <c r="H6468" s="1"/>
    </row>
    <row r="6469" spans="8:8" x14ac:dyDescent="0.4">
      <c r="H6469" s="1"/>
    </row>
    <row r="6470" spans="8:8" x14ac:dyDescent="0.4">
      <c r="H6470" s="1"/>
    </row>
    <row r="6471" spans="8:8" x14ac:dyDescent="0.4">
      <c r="H6471" s="1"/>
    </row>
    <row r="6472" spans="8:8" x14ac:dyDescent="0.4">
      <c r="H6472" s="1"/>
    </row>
    <row r="6473" spans="8:8" x14ac:dyDescent="0.4">
      <c r="H6473" s="1"/>
    </row>
    <row r="6474" spans="8:8" x14ac:dyDescent="0.4">
      <c r="H6474" s="1"/>
    </row>
    <row r="6475" spans="8:8" x14ac:dyDescent="0.4">
      <c r="H6475" s="1"/>
    </row>
    <row r="6476" spans="8:8" x14ac:dyDescent="0.4">
      <c r="H6476" s="1"/>
    </row>
    <row r="6477" spans="8:8" x14ac:dyDescent="0.4">
      <c r="H6477" s="1"/>
    </row>
    <row r="6478" spans="8:8" x14ac:dyDescent="0.4">
      <c r="H6478" s="1"/>
    </row>
    <row r="6479" spans="8:8" x14ac:dyDescent="0.4">
      <c r="H6479" s="1"/>
    </row>
    <row r="6480" spans="8:8" x14ac:dyDescent="0.4">
      <c r="H6480" s="1"/>
    </row>
    <row r="6481" spans="8:8" x14ac:dyDescent="0.4">
      <c r="H6481" s="1"/>
    </row>
    <row r="6482" spans="8:8" x14ac:dyDescent="0.4">
      <c r="H6482" s="1"/>
    </row>
    <row r="6483" spans="8:8" x14ac:dyDescent="0.4">
      <c r="H6483" s="1"/>
    </row>
    <row r="6484" spans="8:8" x14ac:dyDescent="0.4">
      <c r="H6484" s="1"/>
    </row>
    <row r="6485" spans="8:8" x14ac:dyDescent="0.4">
      <c r="H6485" s="1"/>
    </row>
    <row r="6486" spans="8:8" x14ac:dyDescent="0.4">
      <c r="H6486" s="1"/>
    </row>
    <row r="6487" spans="8:8" x14ac:dyDescent="0.4">
      <c r="H6487" s="1"/>
    </row>
    <row r="6488" spans="8:8" x14ac:dyDescent="0.4">
      <c r="H6488" s="1"/>
    </row>
    <row r="6489" spans="8:8" x14ac:dyDescent="0.4">
      <c r="H6489" s="1"/>
    </row>
    <row r="6490" spans="8:8" x14ac:dyDescent="0.4">
      <c r="H6490" s="1"/>
    </row>
    <row r="6491" spans="8:8" x14ac:dyDescent="0.4">
      <c r="H6491" s="1"/>
    </row>
    <row r="6492" spans="8:8" x14ac:dyDescent="0.4">
      <c r="H6492" s="1"/>
    </row>
    <row r="6493" spans="8:8" x14ac:dyDescent="0.4">
      <c r="H6493" s="1"/>
    </row>
    <row r="6494" spans="8:8" x14ac:dyDescent="0.4">
      <c r="H6494" s="1"/>
    </row>
    <row r="6495" spans="8:8" x14ac:dyDescent="0.4">
      <c r="H6495" s="1"/>
    </row>
    <row r="6496" spans="8:8" x14ac:dyDescent="0.4">
      <c r="H6496" s="1"/>
    </row>
    <row r="6497" spans="8:8" x14ac:dyDescent="0.4">
      <c r="H6497" s="1"/>
    </row>
    <row r="6498" spans="8:8" x14ac:dyDescent="0.4">
      <c r="H6498" s="1"/>
    </row>
    <row r="6499" spans="8:8" x14ac:dyDescent="0.4">
      <c r="H6499" s="1"/>
    </row>
    <row r="6500" spans="8:8" x14ac:dyDescent="0.4">
      <c r="H6500" s="1"/>
    </row>
    <row r="6501" spans="8:8" x14ac:dyDescent="0.4">
      <c r="H6501" s="1"/>
    </row>
    <row r="6502" spans="8:8" x14ac:dyDescent="0.4">
      <c r="H6502" s="1"/>
    </row>
    <row r="6503" spans="8:8" x14ac:dyDescent="0.4">
      <c r="H6503" s="1"/>
    </row>
    <row r="6504" spans="8:8" x14ac:dyDescent="0.4">
      <c r="H6504" s="1"/>
    </row>
    <row r="6505" spans="8:8" x14ac:dyDescent="0.4">
      <c r="H6505" s="1"/>
    </row>
    <row r="6506" spans="8:8" x14ac:dyDescent="0.4">
      <c r="H6506" s="1"/>
    </row>
    <row r="6507" spans="8:8" x14ac:dyDescent="0.4">
      <c r="H6507" s="1"/>
    </row>
    <row r="6508" spans="8:8" x14ac:dyDescent="0.4">
      <c r="H6508" s="1"/>
    </row>
    <row r="6509" spans="8:8" x14ac:dyDescent="0.4">
      <c r="H6509" s="1"/>
    </row>
    <row r="6510" spans="8:8" x14ac:dyDescent="0.4">
      <c r="H6510" s="1"/>
    </row>
    <row r="6511" spans="8:8" x14ac:dyDescent="0.4">
      <c r="H6511" s="1"/>
    </row>
    <row r="6512" spans="8:8" x14ac:dyDescent="0.4">
      <c r="H6512" s="1"/>
    </row>
    <row r="6513" spans="8:8" x14ac:dyDescent="0.4">
      <c r="H6513" s="1"/>
    </row>
    <row r="6514" spans="8:8" x14ac:dyDescent="0.4">
      <c r="H6514" s="1"/>
    </row>
    <row r="6515" spans="8:8" x14ac:dyDescent="0.4">
      <c r="H6515" s="1"/>
    </row>
    <row r="6516" spans="8:8" x14ac:dyDescent="0.4">
      <c r="H6516" s="1"/>
    </row>
    <row r="6517" spans="8:8" x14ac:dyDescent="0.4">
      <c r="H6517" s="1"/>
    </row>
    <row r="6518" spans="8:8" x14ac:dyDescent="0.4">
      <c r="H6518" s="1"/>
    </row>
    <row r="6519" spans="8:8" x14ac:dyDescent="0.4">
      <c r="H6519" s="1"/>
    </row>
    <row r="6520" spans="8:8" x14ac:dyDescent="0.4">
      <c r="H6520" s="1"/>
    </row>
    <row r="6521" spans="8:8" x14ac:dyDescent="0.4">
      <c r="H6521" s="1"/>
    </row>
    <row r="6522" spans="8:8" x14ac:dyDescent="0.4">
      <c r="H6522" s="1"/>
    </row>
    <row r="6523" spans="8:8" x14ac:dyDescent="0.4">
      <c r="H6523" s="1"/>
    </row>
    <row r="6524" spans="8:8" x14ac:dyDescent="0.4">
      <c r="H6524" s="1"/>
    </row>
    <row r="6525" spans="8:8" x14ac:dyDescent="0.4">
      <c r="H6525" s="1"/>
    </row>
    <row r="6526" spans="8:8" x14ac:dyDescent="0.4">
      <c r="H6526" s="1"/>
    </row>
    <row r="6527" spans="8:8" x14ac:dyDescent="0.4">
      <c r="H6527" s="1"/>
    </row>
    <row r="6528" spans="8:8" x14ac:dyDescent="0.4">
      <c r="H6528" s="1"/>
    </row>
    <row r="6529" spans="8:8" x14ac:dyDescent="0.4">
      <c r="H6529" s="1"/>
    </row>
    <row r="6530" spans="8:8" x14ac:dyDescent="0.4">
      <c r="H6530" s="1"/>
    </row>
    <row r="6531" spans="8:8" x14ac:dyDescent="0.4">
      <c r="H6531" s="1"/>
    </row>
    <row r="6532" spans="8:8" x14ac:dyDescent="0.4">
      <c r="H6532" s="1"/>
    </row>
    <row r="6533" spans="8:8" x14ac:dyDescent="0.4">
      <c r="H6533" s="1"/>
    </row>
    <row r="6534" spans="8:8" x14ac:dyDescent="0.4">
      <c r="H6534" s="1"/>
    </row>
    <row r="6535" spans="8:8" x14ac:dyDescent="0.4">
      <c r="H6535" s="1"/>
    </row>
    <row r="6536" spans="8:8" x14ac:dyDescent="0.4">
      <c r="H6536" s="1"/>
    </row>
    <row r="6537" spans="8:8" x14ac:dyDescent="0.4">
      <c r="H6537" s="1"/>
    </row>
    <row r="6538" spans="8:8" x14ac:dyDescent="0.4">
      <c r="H6538" s="1"/>
    </row>
    <row r="6539" spans="8:8" x14ac:dyDescent="0.4">
      <c r="H6539" s="1"/>
    </row>
    <row r="6540" spans="8:8" x14ac:dyDescent="0.4">
      <c r="H6540" s="1"/>
    </row>
    <row r="6541" spans="8:8" x14ac:dyDescent="0.4">
      <c r="H6541" s="1"/>
    </row>
    <row r="6542" spans="8:8" x14ac:dyDescent="0.4">
      <c r="H6542" s="1"/>
    </row>
    <row r="6543" spans="8:8" x14ac:dyDescent="0.4">
      <c r="H6543" s="1"/>
    </row>
    <row r="6544" spans="8:8" x14ac:dyDescent="0.4">
      <c r="H6544" s="1"/>
    </row>
    <row r="6545" spans="8:8" x14ac:dyDescent="0.4">
      <c r="H6545" s="1"/>
    </row>
    <row r="6546" spans="8:8" x14ac:dyDescent="0.4">
      <c r="H6546" s="1"/>
    </row>
    <row r="6547" spans="8:8" x14ac:dyDescent="0.4">
      <c r="H6547" s="1"/>
    </row>
    <row r="6548" spans="8:8" x14ac:dyDescent="0.4">
      <c r="H6548" s="1"/>
    </row>
    <row r="6549" spans="8:8" x14ac:dyDescent="0.4">
      <c r="H6549" s="1"/>
    </row>
    <row r="6550" spans="8:8" x14ac:dyDescent="0.4">
      <c r="H6550" s="1"/>
    </row>
    <row r="6551" spans="8:8" x14ac:dyDescent="0.4">
      <c r="H6551" s="1"/>
    </row>
    <row r="6552" spans="8:8" x14ac:dyDescent="0.4">
      <c r="H6552" s="1"/>
    </row>
    <row r="6553" spans="8:8" x14ac:dyDescent="0.4">
      <c r="H6553" s="1"/>
    </row>
    <row r="6554" spans="8:8" x14ac:dyDescent="0.4">
      <c r="H6554" s="1"/>
    </row>
    <row r="6555" spans="8:8" x14ac:dyDescent="0.4">
      <c r="H6555" s="1"/>
    </row>
    <row r="6556" spans="8:8" x14ac:dyDescent="0.4">
      <c r="H6556" s="1"/>
    </row>
    <row r="6557" spans="8:8" x14ac:dyDescent="0.4">
      <c r="H6557" s="1"/>
    </row>
    <row r="6558" spans="8:8" x14ac:dyDescent="0.4">
      <c r="H6558" s="1"/>
    </row>
    <row r="6559" spans="8:8" x14ac:dyDescent="0.4">
      <c r="H6559" s="1"/>
    </row>
    <row r="6560" spans="8:8" x14ac:dyDescent="0.4">
      <c r="H6560" s="1"/>
    </row>
    <row r="6561" spans="8:8" x14ac:dyDescent="0.4">
      <c r="H6561" s="1"/>
    </row>
    <row r="6562" spans="8:8" x14ac:dyDescent="0.4">
      <c r="H6562" s="1"/>
    </row>
    <row r="6563" spans="8:8" x14ac:dyDescent="0.4">
      <c r="H6563" s="1"/>
    </row>
    <row r="6564" spans="8:8" x14ac:dyDescent="0.4">
      <c r="H6564" s="1"/>
    </row>
    <row r="6565" spans="8:8" x14ac:dyDescent="0.4">
      <c r="H6565" s="1"/>
    </row>
    <row r="6566" spans="8:8" x14ac:dyDescent="0.4">
      <c r="H6566" s="1"/>
    </row>
    <row r="6567" spans="8:8" x14ac:dyDescent="0.4">
      <c r="H6567" s="1"/>
    </row>
    <row r="6568" spans="8:8" x14ac:dyDescent="0.4">
      <c r="H6568" s="1"/>
    </row>
    <row r="6569" spans="8:8" x14ac:dyDescent="0.4">
      <c r="H6569" s="1"/>
    </row>
    <row r="6570" spans="8:8" x14ac:dyDescent="0.4">
      <c r="H6570" s="1"/>
    </row>
    <row r="6571" spans="8:8" x14ac:dyDescent="0.4">
      <c r="H6571" s="1"/>
    </row>
    <row r="6572" spans="8:8" x14ac:dyDescent="0.4">
      <c r="H6572" s="1"/>
    </row>
    <row r="6573" spans="8:8" x14ac:dyDescent="0.4">
      <c r="H6573" s="1"/>
    </row>
    <row r="6574" spans="8:8" x14ac:dyDescent="0.4">
      <c r="H6574" s="1"/>
    </row>
    <row r="6575" spans="8:8" x14ac:dyDescent="0.4">
      <c r="H6575" s="1"/>
    </row>
    <row r="6576" spans="8:8" x14ac:dyDescent="0.4">
      <c r="H6576" s="1"/>
    </row>
    <row r="6577" spans="8:8" x14ac:dyDescent="0.4">
      <c r="H6577" s="1"/>
    </row>
    <row r="6578" spans="8:8" x14ac:dyDescent="0.4">
      <c r="H6578" s="1"/>
    </row>
    <row r="6579" spans="8:8" x14ac:dyDescent="0.4">
      <c r="H6579" s="1"/>
    </row>
    <row r="6580" spans="8:8" x14ac:dyDescent="0.4">
      <c r="H6580" s="1"/>
    </row>
    <row r="6581" spans="8:8" x14ac:dyDescent="0.4">
      <c r="H6581" s="1"/>
    </row>
    <row r="6582" spans="8:8" x14ac:dyDescent="0.4">
      <c r="H6582" s="1"/>
    </row>
  </sheetData>
  <autoFilter ref="A1:L6582" xr:uid="{EAB8C493-35AD-42A7-84CB-B1113C15591D}"/>
  <conditionalFormatting sqref="A1:L1048576">
    <cfRule type="containsBlanks" priority="2" stopIfTrue="1">
      <formula>LEN(TRIM(A1))=0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CD6C49A7-A954-4E53-AD0E-DB2B88EB5E56}">
            <xm:f>NOT(IFERROR(MATCH(A1, Companies!$B:$B,0),0))</xm:f>
            <x14:dxf>
              <fill>
                <patternFill>
                  <bgColor rgb="FFFFC000"/>
                </patternFill>
              </fill>
            </x14:dxf>
          </x14:cfRule>
          <xm:sqref>A1:A1048576</xm:sqref>
        </x14:conditionalFormatting>
        <x14:conditionalFormatting xmlns:xm="http://schemas.microsoft.com/office/excel/2006/main">
          <x14:cfRule type="expression" priority="4" id="{6F7ED993-1058-41B6-AEE2-EDC84C26B2A0}">
            <xm:f>NOT(IFERROR(MATCH(B1, Companies!$N:$N,0),0))</xm:f>
            <x14:dxf>
              <fill>
                <patternFill>
                  <bgColor rgb="FFFFC000"/>
                </patternFill>
              </fill>
            </x14:dxf>
          </x14:cfRule>
          <xm:sqref>B1:B1048576</xm:sqref>
        </x14:conditionalFormatting>
        <x14:conditionalFormatting xmlns:xm="http://schemas.microsoft.com/office/excel/2006/main">
          <x14:cfRule type="expression" priority="5" id="{C5811568-7BEB-4F79-836C-786F1F6286F2}">
            <xm:f>NOT(IFERROR(MATCH(C1, Companies!$O:$O,0),0))</xm:f>
            <x14:dxf>
              <fill>
                <patternFill>
                  <bgColor rgb="FFFFC000"/>
                </patternFill>
              </fill>
            </x14:dxf>
          </x14:cfRule>
          <xm:sqref>C1:C1048576</xm:sqref>
        </x14:conditionalFormatting>
        <x14:conditionalFormatting xmlns:xm="http://schemas.microsoft.com/office/excel/2006/main">
          <x14:cfRule type="expression" priority="6" id="{B2C65F3A-D8F1-4BB2-8AA1-08247F1E899D}">
            <xm:f>NOT(IFERROR(MATCH(D1, Companies!$P:$P,0),0))</xm:f>
            <x14:dxf>
              <fill>
                <patternFill>
                  <bgColor rgb="FFFFC000"/>
                </patternFill>
              </fill>
            </x14:dxf>
          </x14:cfRule>
          <xm:sqref>D1:D1048576</xm:sqref>
        </x14:conditionalFormatting>
        <x14:conditionalFormatting xmlns:xm="http://schemas.microsoft.com/office/excel/2006/main">
          <x14:cfRule type="expression" priority="7" id="{EEEFF864-E331-45D8-999B-DDE56B48FE26}">
            <xm:f>NOT(IFERROR(MATCH(E1, Companies!$Q:$Q,0),0))</xm:f>
            <x14:dxf>
              <fill>
                <patternFill>
                  <bgColor rgb="FFFFC000"/>
                </patternFill>
              </fill>
            </x14:dxf>
          </x14:cfRule>
          <xm:sqref>E1:E1048576</xm:sqref>
        </x14:conditionalFormatting>
        <x14:conditionalFormatting xmlns:xm="http://schemas.microsoft.com/office/excel/2006/main">
          <x14:cfRule type="expression" priority="9" id="{E2D23473-2053-4C93-8C20-A4CA9E9A303A}">
            <xm:f>NOT(IFERROR(MATCH(F1, Companies!$R:$R,0),0))</xm:f>
            <x14:dxf>
              <fill>
                <patternFill>
                  <bgColor rgb="FFFFC000"/>
                </patternFill>
              </fill>
            </x14:dxf>
          </x14:cfRule>
          <xm:sqref>F1:F1048576</xm:sqref>
        </x14:conditionalFormatting>
        <x14:conditionalFormatting xmlns:xm="http://schemas.microsoft.com/office/excel/2006/main">
          <x14:cfRule type="expression" priority="10" id="{B25B97FF-998E-4774-9218-51EB898A96F9}">
            <xm:f>NOT(IFERROR(MATCH(G1, Users!$F:$F,0),0))</xm:f>
            <x14:dxf>
              <fill>
                <patternFill>
                  <bgColor rgb="FFFFC000"/>
                </patternFill>
              </fill>
            </x14:dxf>
          </x14:cfRule>
          <xm:sqref>G1:G1048576</xm:sqref>
        </x14:conditionalFormatting>
        <x14:conditionalFormatting xmlns:xm="http://schemas.microsoft.com/office/excel/2006/main">
          <x14:cfRule type="expression" priority="11" id="{70D24E6C-748F-481A-B4C9-197E82B9A025}">
            <xm:f>NOT(IFERROR(MATCH(H1, Users!$E:$E,0),0))</xm:f>
            <x14:dxf>
              <fill>
                <patternFill>
                  <bgColor rgb="FFFFC000"/>
                </patternFill>
              </fill>
            </x14:dxf>
          </x14:cfRule>
          <xm:sqref>H1:H1048576</xm:sqref>
        </x14:conditionalFormatting>
        <x14:conditionalFormatting xmlns:xm="http://schemas.microsoft.com/office/excel/2006/main">
          <x14:cfRule type="expression" priority="12" id="{CEDC5BF5-AD47-491A-AE70-EB030D78A46A}">
            <xm:f>NOT(IFERROR(MATCH(I1, Users!$K:$K,0),0))</xm:f>
            <x14:dxf>
              <fill>
                <patternFill>
                  <bgColor rgb="FFFFC000"/>
                </patternFill>
              </fill>
            </x14:dxf>
          </x14:cfRule>
          <xm:sqref>I1:I1048576</xm:sqref>
        </x14:conditionalFormatting>
        <x14:conditionalFormatting xmlns:xm="http://schemas.microsoft.com/office/excel/2006/main">
          <x14:cfRule type="expression" priority="13" id="{DEB51CDF-1F8D-4F8C-8B96-DDA98AFF1B22}">
            <xm:f>NOT(IFERROR(MATCH(J1, Users!$L:$L,0),0))</xm:f>
            <x14:dxf>
              <fill>
                <patternFill>
                  <bgColor rgb="FFFFC000"/>
                </patternFill>
              </fill>
            </x14:dxf>
          </x14:cfRule>
          <xm:sqref>J1:J1048576</xm:sqref>
        </x14:conditionalFormatting>
        <x14:conditionalFormatting xmlns:xm="http://schemas.microsoft.com/office/excel/2006/main">
          <x14:cfRule type="expression" priority="14" id="{8D0C1014-C37D-4F48-8A18-CA4F53F81869}">
            <xm:f>NOT(IFERROR(MATCH(K1, Users!$M:$M,0),0))</xm:f>
            <x14:dxf>
              <fill>
                <patternFill>
                  <bgColor rgb="FFFFC000"/>
                </patternFill>
              </fill>
            </x14:dxf>
          </x14:cfRule>
          <xm:sqref>K1:K1048576</xm:sqref>
        </x14:conditionalFormatting>
        <x14:conditionalFormatting xmlns:xm="http://schemas.microsoft.com/office/excel/2006/main">
          <x14:cfRule type="expression" priority="15" id="{67B4380E-C034-451D-997C-9E82A6911C7E}">
            <xm:f>NOT(IFERROR(MATCH(L1, Users!$N:$N,0),0))</xm:f>
            <x14:dxf>
              <fill>
                <patternFill>
                  <bgColor rgb="FFFFC000"/>
                </patternFill>
              </fill>
            </x14:dxf>
          </x14:cfRule>
          <xm:sqref>L1:L1048576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A3C27-968D-414E-9367-8E141C3B46FE}">
  <sheetPr codeName="OriginalConfigurations"/>
  <dimension ref="A1:AJ10"/>
  <sheetViews>
    <sheetView workbookViewId="0"/>
  </sheetViews>
  <sheetFormatPr defaultColWidth="8.84375" defaultRowHeight="14.6" x14ac:dyDescent="0.4"/>
  <cols>
    <col min="1" max="1" width="6.921875" style="34" bestFit="1" customWidth="1"/>
    <col min="2" max="2" width="15.23046875" style="34" bestFit="1" customWidth="1"/>
    <col min="3" max="3" width="18.61328125" style="31" bestFit="1" customWidth="1"/>
    <col min="4" max="4" width="9.765625" style="35" bestFit="1" customWidth="1"/>
    <col min="5" max="5" width="26.765625" style="31" bestFit="1" customWidth="1"/>
    <col min="6" max="6" width="54.15234375" style="31" bestFit="1" customWidth="1"/>
    <col min="7" max="7" width="8.23046875" style="32" bestFit="1" customWidth="1"/>
    <col min="8" max="8" width="9" style="30" bestFit="1" customWidth="1"/>
    <col min="9" max="9" width="24.23046875" style="77" bestFit="1" customWidth="1"/>
    <col min="10" max="10" width="15.3046875" style="77" bestFit="1" customWidth="1"/>
    <col min="11" max="11" width="13.4609375" style="77" bestFit="1" customWidth="1"/>
    <col min="12" max="12" width="17.921875" style="77" bestFit="1" customWidth="1"/>
    <col min="13" max="13" width="12.921875" style="77" bestFit="1" customWidth="1"/>
    <col min="14" max="14" width="8.921875" style="77" bestFit="1" customWidth="1"/>
    <col min="15" max="15" width="12.765625" style="77" bestFit="1" customWidth="1"/>
    <col min="16" max="16" width="10.4609375" style="77" bestFit="1" customWidth="1"/>
    <col min="17" max="17" width="7.69140625" style="77" bestFit="1" customWidth="1"/>
    <col min="18" max="18" width="13.61328125" style="77" bestFit="1" customWidth="1"/>
    <col min="19" max="19" width="10.3046875" style="77" bestFit="1" customWidth="1"/>
    <col min="20" max="20" width="14.15234375" style="77" bestFit="1" customWidth="1"/>
    <col min="21" max="21" width="18.07421875" style="77" bestFit="1" customWidth="1"/>
    <col min="22" max="22" width="18.53515625" style="77" bestFit="1" customWidth="1"/>
    <col min="23" max="23" width="18.3046875" style="77" bestFit="1" customWidth="1"/>
    <col min="24" max="24" width="21.84375" style="77" bestFit="1" customWidth="1"/>
    <col min="25" max="25" width="21.4609375" style="77" bestFit="1" customWidth="1"/>
    <col min="26" max="26" width="15.61328125" style="77" bestFit="1" customWidth="1"/>
    <col min="27" max="27" width="26.15234375" style="77" bestFit="1" customWidth="1"/>
    <col min="28" max="28" width="7.84375" style="77" bestFit="1" customWidth="1"/>
    <col min="29" max="29" width="18.07421875" style="77" bestFit="1" customWidth="1"/>
    <col min="30" max="30" width="18.23046875" style="77" bestFit="1" customWidth="1"/>
    <col min="31" max="31" width="9.53515625" style="77" bestFit="1" customWidth="1"/>
    <col min="32" max="32" width="14.69140625" style="77" bestFit="1" customWidth="1"/>
    <col min="33" max="33" width="20.84375" style="77" bestFit="1" customWidth="1"/>
    <col min="34" max="34" width="28.53515625" style="77" bestFit="1" customWidth="1"/>
    <col min="35" max="35" width="7.4609375" style="77" bestFit="1" customWidth="1"/>
    <col min="36" max="36" width="9" style="77" bestFit="1" customWidth="1"/>
    <col min="37" max="16384" width="8.84375" style="33"/>
  </cols>
  <sheetData>
    <row r="1" spans="1:36" s="24" customFormat="1" x14ac:dyDescent="0.4">
      <c r="A1" s="42" t="s">
        <v>14</v>
      </c>
      <c r="B1" s="42" t="s">
        <v>43</v>
      </c>
      <c r="C1" s="43" t="s">
        <v>27</v>
      </c>
      <c r="D1" s="43" t="s">
        <v>32</v>
      </c>
      <c r="E1" s="43" t="s">
        <v>15</v>
      </c>
      <c r="F1" s="43" t="s">
        <v>33</v>
      </c>
      <c r="G1" s="44" t="s">
        <v>34</v>
      </c>
      <c r="H1" s="44" t="s">
        <v>35</v>
      </c>
      <c r="I1" s="13" t="s">
        <v>109</v>
      </c>
      <c r="J1" s="13" t="s">
        <v>92</v>
      </c>
      <c r="K1" s="13" t="s">
        <v>110</v>
      </c>
      <c r="L1" s="13" t="s">
        <v>95</v>
      </c>
      <c r="M1" s="76" t="s">
        <v>104</v>
      </c>
      <c r="N1" s="76" t="s">
        <v>94</v>
      </c>
      <c r="O1" s="76" t="s">
        <v>69</v>
      </c>
      <c r="P1" s="76" t="s">
        <v>98</v>
      </c>
      <c r="Q1" s="76" t="s">
        <v>93</v>
      </c>
      <c r="R1" s="76" t="s">
        <v>114</v>
      </c>
      <c r="S1" s="76" t="s">
        <v>96</v>
      </c>
      <c r="T1" s="76" t="s">
        <v>118</v>
      </c>
      <c r="U1" s="76" t="s">
        <v>97</v>
      </c>
      <c r="V1" s="76" t="s">
        <v>101</v>
      </c>
      <c r="W1" s="76" t="s">
        <v>102</v>
      </c>
      <c r="X1" s="76" t="s">
        <v>117</v>
      </c>
      <c r="Y1" s="76" t="s">
        <v>112</v>
      </c>
      <c r="Z1" s="76" t="s">
        <v>105</v>
      </c>
      <c r="AA1" s="76" t="s">
        <v>116</v>
      </c>
      <c r="AB1" s="76" t="s">
        <v>103</v>
      </c>
      <c r="AC1" s="76" t="s">
        <v>113</v>
      </c>
      <c r="AD1" s="76" t="s">
        <v>100</v>
      </c>
      <c r="AE1" s="76" t="s">
        <v>99</v>
      </c>
      <c r="AF1" s="76" t="s">
        <v>111</v>
      </c>
      <c r="AG1" s="76" t="s">
        <v>108</v>
      </c>
      <c r="AH1" s="76" t="s">
        <v>115</v>
      </c>
      <c r="AI1" s="76" t="s">
        <v>106</v>
      </c>
      <c r="AJ1" s="76" t="s">
        <v>107</v>
      </c>
    </row>
    <row r="2" spans="1:36" x14ac:dyDescent="0.4">
      <c r="A2" s="34">
        <v>1477</v>
      </c>
      <c r="B2" s="34">
        <v>253423</v>
      </c>
      <c r="C2" s="31" t="s">
        <v>91</v>
      </c>
      <c r="D2" s="35" t="s">
        <v>57</v>
      </c>
      <c r="E2" s="31" t="s">
        <v>58</v>
      </c>
      <c r="F2" s="31" t="s">
        <v>58</v>
      </c>
      <c r="G2" s="32">
        <v>1</v>
      </c>
      <c r="H2" s="30">
        <v>1</v>
      </c>
      <c r="I2" s="77" t="s">
        <v>210</v>
      </c>
      <c r="J2" s="77" t="s">
        <v>210</v>
      </c>
      <c r="K2" s="77" t="s">
        <v>210</v>
      </c>
      <c r="L2" s="77" t="s">
        <v>210</v>
      </c>
      <c r="M2" s="77" t="s">
        <v>210</v>
      </c>
      <c r="N2" s="77" t="s">
        <v>210</v>
      </c>
      <c r="O2" s="77" t="s">
        <v>210</v>
      </c>
      <c r="P2" s="77" t="s">
        <v>210</v>
      </c>
      <c r="Q2" s="77" t="s">
        <v>210</v>
      </c>
      <c r="R2" s="77" t="s">
        <v>210</v>
      </c>
      <c r="S2" s="77" t="s">
        <v>210</v>
      </c>
      <c r="U2" s="77" t="s">
        <v>210</v>
      </c>
      <c r="V2" s="77" t="s">
        <v>210</v>
      </c>
      <c r="W2" s="77" t="s">
        <v>210</v>
      </c>
      <c r="X2" s="77" t="s">
        <v>210</v>
      </c>
      <c r="Y2" s="77" t="s">
        <v>210</v>
      </c>
      <c r="AB2" s="77" t="s">
        <v>210</v>
      </c>
      <c r="AC2" s="77" t="s">
        <v>210</v>
      </c>
      <c r="AD2" s="77" t="s">
        <v>210</v>
      </c>
      <c r="AE2" s="77" t="s">
        <v>210</v>
      </c>
      <c r="AH2" s="77" t="s">
        <v>210</v>
      </c>
    </row>
    <row r="3" spans="1:36" x14ac:dyDescent="0.4">
      <c r="A3" s="34">
        <v>1479</v>
      </c>
      <c r="B3" s="34">
        <v>253423</v>
      </c>
      <c r="C3" s="31" t="s">
        <v>91</v>
      </c>
      <c r="D3" s="35" t="s">
        <v>176</v>
      </c>
      <c r="E3" s="31" t="s">
        <v>214</v>
      </c>
      <c r="F3" s="31" t="s">
        <v>508</v>
      </c>
      <c r="G3" s="32">
        <v>1</v>
      </c>
      <c r="H3" s="30">
        <v>0</v>
      </c>
      <c r="I3" s="77" t="s">
        <v>210</v>
      </c>
      <c r="J3" s="77" t="s">
        <v>210</v>
      </c>
      <c r="K3" s="77" t="s">
        <v>210</v>
      </c>
      <c r="L3" s="77" t="s">
        <v>210</v>
      </c>
      <c r="M3" s="77" t="s">
        <v>210</v>
      </c>
      <c r="N3" s="77" t="s">
        <v>210</v>
      </c>
      <c r="O3" s="77" t="s">
        <v>210</v>
      </c>
      <c r="P3" s="77" t="s">
        <v>210</v>
      </c>
      <c r="U3" s="77" t="s">
        <v>210</v>
      </c>
      <c r="W3" s="77" t="s">
        <v>210</v>
      </c>
      <c r="X3" s="77" t="s">
        <v>210</v>
      </c>
      <c r="AC3" s="77" t="s">
        <v>210</v>
      </c>
      <c r="AD3" s="77" t="s">
        <v>210</v>
      </c>
      <c r="AE3" s="77" t="s">
        <v>210</v>
      </c>
    </row>
    <row r="4" spans="1:36" x14ac:dyDescent="0.4">
      <c r="A4" s="34">
        <v>1480</v>
      </c>
      <c r="B4" s="34">
        <v>253423</v>
      </c>
      <c r="C4" s="31" t="s">
        <v>91</v>
      </c>
      <c r="D4" s="35" t="s">
        <v>176</v>
      </c>
      <c r="E4" s="31" t="s">
        <v>212</v>
      </c>
      <c r="F4" s="31" t="s">
        <v>509</v>
      </c>
      <c r="G4" s="32">
        <v>1</v>
      </c>
      <c r="H4" s="30">
        <v>0</v>
      </c>
      <c r="I4" s="77" t="s">
        <v>210</v>
      </c>
      <c r="J4" s="77" t="s">
        <v>210</v>
      </c>
      <c r="K4" s="77" t="s">
        <v>210</v>
      </c>
      <c r="L4" s="77" t="s">
        <v>210</v>
      </c>
      <c r="O4" s="77" t="s">
        <v>210</v>
      </c>
      <c r="P4" s="77" t="s">
        <v>210</v>
      </c>
      <c r="U4" s="77" t="s">
        <v>210</v>
      </c>
      <c r="W4" s="77" t="s">
        <v>210</v>
      </c>
      <c r="AC4" s="77" t="s">
        <v>210</v>
      </c>
      <c r="AD4" s="77" t="s">
        <v>210</v>
      </c>
      <c r="AE4" s="77" t="s">
        <v>210</v>
      </c>
    </row>
    <row r="5" spans="1:36" x14ac:dyDescent="0.4">
      <c r="A5" s="34">
        <v>2893</v>
      </c>
      <c r="B5" s="34">
        <v>253423</v>
      </c>
      <c r="C5" s="31" t="s">
        <v>91</v>
      </c>
      <c r="D5" s="35" t="s">
        <v>176</v>
      </c>
      <c r="E5" s="31" t="s">
        <v>241</v>
      </c>
      <c r="F5" s="31" t="s">
        <v>510</v>
      </c>
      <c r="G5" s="32">
        <v>1</v>
      </c>
      <c r="H5" s="30">
        <v>0</v>
      </c>
      <c r="I5" s="77" t="s">
        <v>210</v>
      </c>
      <c r="J5" s="77" t="s">
        <v>210</v>
      </c>
      <c r="K5" s="77" t="s">
        <v>210</v>
      </c>
      <c r="L5" s="77" t="s">
        <v>210</v>
      </c>
      <c r="M5" s="77" t="s">
        <v>210</v>
      </c>
      <c r="N5" s="77" t="s">
        <v>210</v>
      </c>
      <c r="O5" s="77" t="s">
        <v>210</v>
      </c>
      <c r="P5" s="77" t="s">
        <v>210</v>
      </c>
      <c r="Q5" s="77" t="s">
        <v>210</v>
      </c>
      <c r="R5" s="77" t="s">
        <v>210</v>
      </c>
      <c r="S5" s="77" t="s">
        <v>210</v>
      </c>
      <c r="U5" s="77" t="s">
        <v>210</v>
      </c>
      <c r="V5" s="77" t="s">
        <v>210</v>
      </c>
      <c r="W5" s="77" t="s">
        <v>210</v>
      </c>
      <c r="X5" s="77" t="s">
        <v>210</v>
      </c>
      <c r="Y5" s="77" t="s">
        <v>210</v>
      </c>
      <c r="AB5" s="77" t="s">
        <v>210</v>
      </c>
      <c r="AC5" s="77" t="s">
        <v>210</v>
      </c>
      <c r="AD5" s="77" t="s">
        <v>210</v>
      </c>
      <c r="AE5" s="77" t="s">
        <v>210</v>
      </c>
    </row>
    <row r="6" spans="1:36" x14ac:dyDescent="0.4">
      <c r="A6" s="34">
        <v>2894</v>
      </c>
      <c r="B6" s="34">
        <v>253423</v>
      </c>
      <c r="C6" s="31" t="s">
        <v>91</v>
      </c>
      <c r="D6" s="35" t="s">
        <v>176</v>
      </c>
      <c r="E6" s="31" t="s">
        <v>216</v>
      </c>
      <c r="F6" s="31" t="s">
        <v>511</v>
      </c>
      <c r="G6" s="32">
        <v>1</v>
      </c>
      <c r="H6" s="30">
        <v>0</v>
      </c>
      <c r="I6" s="77" t="s">
        <v>210</v>
      </c>
      <c r="J6" s="77" t="s">
        <v>210</v>
      </c>
      <c r="K6" s="77" t="s">
        <v>210</v>
      </c>
      <c r="L6" s="77" t="s">
        <v>210</v>
      </c>
      <c r="M6" s="77" t="s">
        <v>210</v>
      </c>
      <c r="N6" s="77" t="s">
        <v>210</v>
      </c>
      <c r="O6" s="77" t="s">
        <v>210</v>
      </c>
      <c r="P6" s="77" t="s">
        <v>210</v>
      </c>
      <c r="Q6" s="77" t="s">
        <v>210</v>
      </c>
      <c r="R6" s="77" t="s">
        <v>210</v>
      </c>
      <c r="U6" s="77" t="s">
        <v>210</v>
      </c>
      <c r="W6" s="77" t="s">
        <v>210</v>
      </c>
      <c r="X6" s="77" t="s">
        <v>210</v>
      </c>
      <c r="Y6" s="77" t="s">
        <v>210</v>
      </c>
      <c r="AB6" s="77" t="s">
        <v>210</v>
      </c>
      <c r="AC6" s="77" t="s">
        <v>210</v>
      </c>
      <c r="AD6" s="77" t="s">
        <v>210</v>
      </c>
      <c r="AE6" s="77" t="s">
        <v>210</v>
      </c>
    </row>
    <row r="7" spans="1:36" x14ac:dyDescent="0.4">
      <c r="A7" s="34">
        <v>3004</v>
      </c>
      <c r="B7" s="34">
        <v>253423</v>
      </c>
      <c r="C7" s="31" t="s">
        <v>91</v>
      </c>
      <c r="D7" s="35" t="s">
        <v>176</v>
      </c>
      <c r="E7" s="31" t="s">
        <v>244</v>
      </c>
      <c r="F7" s="31" t="s">
        <v>512</v>
      </c>
      <c r="G7" s="32">
        <v>1</v>
      </c>
      <c r="H7" s="30">
        <v>0</v>
      </c>
      <c r="I7" s="77" t="s">
        <v>210</v>
      </c>
      <c r="J7" s="77" t="s">
        <v>210</v>
      </c>
      <c r="K7" s="77" t="s">
        <v>210</v>
      </c>
      <c r="L7" s="77" t="s">
        <v>210</v>
      </c>
      <c r="U7" s="77" t="s">
        <v>210</v>
      </c>
      <c r="W7" s="77" t="s">
        <v>210</v>
      </c>
      <c r="Y7" s="77" t="s">
        <v>210</v>
      </c>
      <c r="AC7" s="77" t="s">
        <v>210</v>
      </c>
    </row>
    <row r="8" spans="1:36" x14ac:dyDescent="0.4">
      <c r="A8" s="34">
        <v>3005</v>
      </c>
      <c r="B8" s="34">
        <v>253423</v>
      </c>
      <c r="C8" s="31" t="s">
        <v>91</v>
      </c>
      <c r="D8" s="35" t="s">
        <v>176</v>
      </c>
      <c r="E8" s="50" t="s">
        <v>246</v>
      </c>
      <c r="F8" s="31" t="s">
        <v>513</v>
      </c>
      <c r="G8" s="32">
        <v>1</v>
      </c>
      <c r="H8" s="30">
        <v>0</v>
      </c>
      <c r="I8" s="77" t="s">
        <v>210</v>
      </c>
      <c r="J8" s="77" t="s">
        <v>210</v>
      </c>
      <c r="K8" s="77" t="s">
        <v>210</v>
      </c>
      <c r="L8" s="77" t="s">
        <v>210</v>
      </c>
      <c r="U8" s="77" t="s">
        <v>210</v>
      </c>
      <c r="V8" s="77" t="s">
        <v>210</v>
      </c>
      <c r="W8" s="77" t="s">
        <v>210</v>
      </c>
      <c r="X8" s="77" t="s">
        <v>210</v>
      </c>
      <c r="AC8" s="77" t="s">
        <v>210</v>
      </c>
    </row>
    <row r="9" spans="1:36" x14ac:dyDescent="0.4">
      <c r="A9" s="34">
        <v>3180</v>
      </c>
      <c r="B9" s="34">
        <v>253423</v>
      </c>
      <c r="C9" s="31" t="s">
        <v>91</v>
      </c>
      <c r="D9" s="35" t="s">
        <v>176</v>
      </c>
      <c r="E9" s="31" t="s">
        <v>514</v>
      </c>
      <c r="F9" s="31" t="s">
        <v>514</v>
      </c>
      <c r="G9" s="32">
        <v>1</v>
      </c>
      <c r="H9" s="30">
        <v>0</v>
      </c>
      <c r="I9" s="77" t="s">
        <v>210</v>
      </c>
      <c r="J9" s="77" t="s">
        <v>210</v>
      </c>
      <c r="K9" s="77" t="s">
        <v>210</v>
      </c>
      <c r="L9" s="77" t="s">
        <v>210</v>
      </c>
      <c r="Q9" s="77" t="s">
        <v>210</v>
      </c>
      <c r="R9" s="77" t="s">
        <v>210</v>
      </c>
    </row>
    <row r="10" spans="1:36" x14ac:dyDescent="0.4">
      <c r="A10" s="34">
        <v>3564</v>
      </c>
      <c r="B10" s="34">
        <v>253423</v>
      </c>
      <c r="C10" s="31" t="s">
        <v>91</v>
      </c>
      <c r="D10" s="35" t="s">
        <v>176</v>
      </c>
      <c r="E10" s="31" t="s">
        <v>250</v>
      </c>
      <c r="F10" s="31" t="s">
        <v>59</v>
      </c>
      <c r="G10" s="32">
        <v>1</v>
      </c>
      <c r="H10" s="30">
        <v>0</v>
      </c>
      <c r="I10" s="77" t="s">
        <v>210</v>
      </c>
      <c r="J10" s="77" t="s">
        <v>210</v>
      </c>
      <c r="K10" s="77" t="s">
        <v>210</v>
      </c>
      <c r="L10" s="77" t="s">
        <v>210</v>
      </c>
      <c r="O10" s="77" t="s">
        <v>210</v>
      </c>
    </row>
  </sheetData>
  <protectedRanges>
    <protectedRange sqref="E2:G1048576 C2:C1048576" name="EditConfiguration_1" securityDescriptor="O:WDG:WDD:(A;;CC;;;WD)"/>
  </protectedRanges>
  <sortState ref="A2:AJ11">
    <sortCondition ref="A1"/>
  </sortState>
  <conditionalFormatting sqref="E2:E1048576">
    <cfRule type="containsBlanks" priority="1" stopIfTrue="1">
      <formula>LEN(TRIM(E2))=0</formula>
    </cfRule>
  </conditionalFormatting>
  <conditionalFormatting sqref="A1:H1048576">
    <cfRule type="expression" dxfId="16" priority="3">
      <formula>A1&lt;&gt;A1</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2" id="{34908774-13F0-4F2F-9B2C-B96191D5B73C}">
            <xm:f>ISERROR(MATCH(E2,Companies!$M$2:$M$1048576,0))</xm:f>
            <x14:dxf>
              <fill>
                <patternFill>
                  <bgColor rgb="FFFFFF00"/>
                </patternFill>
              </fill>
            </x14:dxf>
          </x14:cfRule>
          <xm:sqref>E2:E1048576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ED27C45-699D-4AF8-AA36-AB57BD511343}">
          <x14:formula1>
            <xm:f>Settings!$D$2:$D$3</xm:f>
          </x14:formula1>
          <xm:sqref>G2:G1048576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FF491-5894-4440-A8E3-FF51E76769CD}">
  <sheetPr codeName="OriginalCompanies"/>
  <dimension ref="A1:U26813"/>
  <sheetViews>
    <sheetView workbookViewId="0"/>
  </sheetViews>
  <sheetFormatPr defaultColWidth="8.84375" defaultRowHeight="14.6" x14ac:dyDescent="0.4"/>
  <cols>
    <col min="1" max="1" width="6.921875" style="36" bestFit="1" customWidth="1"/>
    <col min="2" max="2" width="15.3828125" style="31" bestFit="1" customWidth="1"/>
    <col min="3" max="3" width="16.61328125" style="31" bestFit="1" customWidth="1"/>
    <col min="4" max="4" width="13.23046875" style="31" bestFit="1" customWidth="1"/>
    <col min="5" max="5" width="17.61328125" style="31" bestFit="1" customWidth="1"/>
    <col min="6" max="6" width="13.3828125" style="31" bestFit="1" customWidth="1"/>
    <col min="7" max="7" width="9.921875" style="31" bestFit="1" customWidth="1"/>
    <col min="8" max="8" width="9.61328125" style="31" bestFit="1" customWidth="1"/>
    <col min="9" max="9" width="7.765625" style="38" bestFit="1" customWidth="1"/>
    <col min="10" max="10" width="12.15234375" style="31" bestFit="1" customWidth="1"/>
    <col min="11" max="11" width="16.765625" style="38" bestFit="1" customWidth="1"/>
    <col min="12" max="12" width="12.84375" style="31" bestFit="1" customWidth="1"/>
    <col min="13" max="13" width="26.765625" style="31" bestFit="1" customWidth="1"/>
    <col min="14" max="18" width="13.07421875" style="31" bestFit="1" customWidth="1"/>
    <col min="19" max="19" width="8.23046875" style="32" bestFit="1" customWidth="1"/>
    <col min="20" max="20" width="18" style="67" bestFit="1" customWidth="1"/>
    <col min="21" max="21" width="16.3046875" style="65" bestFit="1" customWidth="1"/>
    <col min="22" max="16384" width="8.84375" style="9"/>
  </cols>
  <sheetData>
    <row r="1" spans="1:21" s="13" customFormat="1" x14ac:dyDescent="0.4">
      <c r="A1" s="49" t="s">
        <v>14</v>
      </c>
      <c r="B1" s="13" t="s">
        <v>15</v>
      </c>
      <c r="C1" s="13" t="s">
        <v>16</v>
      </c>
      <c r="D1" s="13" t="s">
        <v>17</v>
      </c>
      <c r="E1" s="13" t="s">
        <v>18</v>
      </c>
      <c r="F1" s="13" t="s">
        <v>19</v>
      </c>
      <c r="G1" s="43" t="s">
        <v>20</v>
      </c>
      <c r="H1" s="43" t="s">
        <v>21</v>
      </c>
      <c r="I1" s="42" t="s">
        <v>22</v>
      </c>
      <c r="J1" s="43" t="s">
        <v>23</v>
      </c>
      <c r="K1" s="42" t="s">
        <v>24</v>
      </c>
      <c r="L1" s="43" t="s">
        <v>25</v>
      </c>
      <c r="M1" s="43" t="s">
        <v>39</v>
      </c>
      <c r="N1" s="43" t="s">
        <v>10</v>
      </c>
      <c r="O1" s="43" t="s">
        <v>11</v>
      </c>
      <c r="P1" s="43" t="s">
        <v>12</v>
      </c>
      <c r="Q1" s="43" t="s">
        <v>13</v>
      </c>
      <c r="R1" s="43" t="s">
        <v>62</v>
      </c>
      <c r="S1" s="44" t="s">
        <v>34</v>
      </c>
      <c r="T1" s="66" t="s">
        <v>75</v>
      </c>
      <c r="U1" s="63" t="s">
        <v>74</v>
      </c>
    </row>
    <row r="2" spans="1:21" x14ac:dyDescent="0.4">
      <c r="A2" s="36">
        <v>253433</v>
      </c>
      <c r="B2" s="31" t="s">
        <v>211</v>
      </c>
      <c r="C2" s="31" t="s">
        <v>211</v>
      </c>
      <c r="D2" s="31" t="s">
        <v>178</v>
      </c>
      <c r="E2" s="31" t="s">
        <v>179</v>
      </c>
      <c r="F2" s="31" t="s">
        <v>59</v>
      </c>
      <c r="G2" s="31" t="s">
        <v>180</v>
      </c>
      <c r="H2" s="31" t="s">
        <v>177</v>
      </c>
      <c r="I2" s="38">
        <v>94583</v>
      </c>
      <c r="J2" s="31" t="s">
        <v>60</v>
      </c>
      <c r="K2" s="38">
        <v>15</v>
      </c>
      <c r="L2" s="31" t="s">
        <v>59</v>
      </c>
      <c r="M2" s="31" t="s">
        <v>212</v>
      </c>
      <c r="N2" s="31" t="s">
        <v>59</v>
      </c>
      <c r="O2" s="31" t="s">
        <v>59</v>
      </c>
      <c r="P2" s="31" t="s">
        <v>59</v>
      </c>
      <c r="Q2" s="31" t="s">
        <v>59</v>
      </c>
      <c r="R2" s="31" t="s">
        <v>59</v>
      </c>
      <c r="S2" s="32">
        <v>1</v>
      </c>
      <c r="T2" s="67">
        <v>43208</v>
      </c>
      <c r="U2" s="65">
        <f>(1534804595/86400)+DATE(1970,1,1)</f>
        <v>43332.942071759258</v>
      </c>
    </row>
    <row r="3" spans="1:21" x14ac:dyDescent="0.4">
      <c r="A3" s="36">
        <v>253435</v>
      </c>
      <c r="B3" s="31" t="s">
        <v>213</v>
      </c>
      <c r="C3" s="31" t="s">
        <v>213</v>
      </c>
      <c r="D3" s="31" t="s">
        <v>178</v>
      </c>
      <c r="E3" s="31" t="s">
        <v>179</v>
      </c>
      <c r="F3" s="31" t="s">
        <v>59</v>
      </c>
      <c r="G3" s="31" t="s">
        <v>180</v>
      </c>
      <c r="H3" s="31" t="s">
        <v>177</v>
      </c>
      <c r="I3" s="38">
        <v>94586</v>
      </c>
      <c r="J3" s="31" t="s">
        <v>60</v>
      </c>
      <c r="K3" s="38">
        <v>75</v>
      </c>
      <c r="L3" s="31" t="s">
        <v>59</v>
      </c>
      <c r="M3" s="31" t="s">
        <v>214</v>
      </c>
      <c r="N3" s="31" t="s">
        <v>59</v>
      </c>
      <c r="O3" s="31" t="s">
        <v>59</v>
      </c>
      <c r="P3" s="31" t="s">
        <v>59</v>
      </c>
      <c r="Q3" s="31" t="s">
        <v>59</v>
      </c>
      <c r="R3" s="31" t="s">
        <v>59</v>
      </c>
      <c r="S3" s="32">
        <v>1</v>
      </c>
      <c r="T3" s="67">
        <v>43208</v>
      </c>
      <c r="U3" s="65">
        <f>(1534804595/86400)+DATE(1970,1,1)</f>
        <v>43332.942071759258</v>
      </c>
    </row>
    <row r="4" spans="1:21" x14ac:dyDescent="0.4">
      <c r="A4" s="36">
        <v>253437</v>
      </c>
      <c r="B4" s="31" t="s">
        <v>215</v>
      </c>
      <c r="C4" s="31" t="s">
        <v>215</v>
      </c>
      <c r="D4" s="31" t="s">
        <v>178</v>
      </c>
      <c r="E4" s="31" t="s">
        <v>179</v>
      </c>
      <c r="F4" s="31" t="s">
        <v>59</v>
      </c>
      <c r="G4" s="31" t="s">
        <v>180</v>
      </c>
      <c r="H4" s="31" t="s">
        <v>177</v>
      </c>
      <c r="I4" s="38">
        <v>94586</v>
      </c>
      <c r="J4" s="31" t="s">
        <v>60</v>
      </c>
      <c r="K4" s="38">
        <v>200</v>
      </c>
      <c r="L4" s="31" t="s">
        <v>59</v>
      </c>
      <c r="M4" s="31" t="s">
        <v>216</v>
      </c>
      <c r="N4" s="31" t="s">
        <v>59</v>
      </c>
      <c r="O4" s="31" t="s">
        <v>59</v>
      </c>
      <c r="P4" s="31" t="s">
        <v>59</v>
      </c>
      <c r="Q4" s="31" t="s">
        <v>59</v>
      </c>
      <c r="R4" s="31" t="s">
        <v>59</v>
      </c>
      <c r="S4" s="32">
        <v>1</v>
      </c>
      <c r="T4" s="67">
        <v>43208</v>
      </c>
      <c r="U4" s="65">
        <f>(1534804596/86400)+DATE(1970,1,1)</f>
        <v>43332.942083333328</v>
      </c>
    </row>
    <row r="5" spans="1:21" x14ac:dyDescent="0.4">
      <c r="A5" s="36">
        <v>259783</v>
      </c>
      <c r="B5" s="31" t="s">
        <v>217</v>
      </c>
      <c r="C5" s="31" t="s">
        <v>218</v>
      </c>
      <c r="D5" s="31" t="s">
        <v>219</v>
      </c>
      <c r="E5" s="31" t="s">
        <v>220</v>
      </c>
      <c r="F5" s="31" t="s">
        <v>59</v>
      </c>
      <c r="G5" s="31" t="s">
        <v>221</v>
      </c>
      <c r="H5" s="31" t="s">
        <v>177</v>
      </c>
      <c r="I5" s="38">
        <v>95125</v>
      </c>
      <c r="J5" s="31" t="s">
        <v>205</v>
      </c>
      <c r="K5" s="38">
        <v>100</v>
      </c>
      <c r="L5" s="31" t="s">
        <v>59</v>
      </c>
      <c r="M5" s="31" t="s">
        <v>58</v>
      </c>
      <c r="N5" s="31" t="s">
        <v>59</v>
      </c>
      <c r="O5" s="31" t="s">
        <v>59</v>
      </c>
      <c r="P5" s="31" t="s">
        <v>59</v>
      </c>
      <c r="Q5" s="31" t="s">
        <v>59</v>
      </c>
      <c r="R5" s="31" t="s">
        <v>59</v>
      </c>
      <c r="S5" s="32">
        <v>1</v>
      </c>
      <c r="T5" s="67">
        <v>43227</v>
      </c>
      <c r="U5" s="65">
        <f>(1534801973/86400)+DATE(1970,1,1)</f>
        <v>43332.911724537036</v>
      </c>
    </row>
    <row r="6" spans="1:21" x14ac:dyDescent="0.4">
      <c r="A6" s="36">
        <v>266497</v>
      </c>
      <c r="B6" s="31" t="s">
        <v>222</v>
      </c>
      <c r="C6" s="31" t="s">
        <v>222</v>
      </c>
      <c r="D6" s="31" t="s">
        <v>223</v>
      </c>
      <c r="E6" s="31" t="s">
        <v>224</v>
      </c>
      <c r="F6" s="31" t="s">
        <v>59</v>
      </c>
      <c r="G6" s="31" t="s">
        <v>225</v>
      </c>
      <c r="H6" s="31" t="s">
        <v>226</v>
      </c>
      <c r="I6" s="38">
        <v>71334</v>
      </c>
      <c r="J6" s="31" t="s">
        <v>227</v>
      </c>
      <c r="K6" s="38">
        <v>50</v>
      </c>
      <c r="L6" s="31" t="s">
        <v>59</v>
      </c>
      <c r="M6" s="31" t="s">
        <v>214</v>
      </c>
      <c r="N6" s="31" t="s">
        <v>59</v>
      </c>
      <c r="O6" s="31" t="s">
        <v>59</v>
      </c>
      <c r="P6" s="31" t="s">
        <v>59</v>
      </c>
      <c r="Q6" s="31" t="s">
        <v>59</v>
      </c>
      <c r="R6" s="31" t="s">
        <v>59</v>
      </c>
      <c r="S6" s="32">
        <v>1</v>
      </c>
      <c r="T6" s="67">
        <v>43251</v>
      </c>
    </row>
    <row r="7" spans="1:21" x14ac:dyDescent="0.4">
      <c r="A7" s="36">
        <v>266500</v>
      </c>
      <c r="B7" s="31" t="s">
        <v>228</v>
      </c>
      <c r="C7" s="31" t="s">
        <v>228</v>
      </c>
      <c r="D7" s="31" t="s">
        <v>229</v>
      </c>
      <c r="E7" s="31" t="s">
        <v>230</v>
      </c>
      <c r="F7" s="31" t="s">
        <v>59</v>
      </c>
      <c r="G7" s="31" t="s">
        <v>231</v>
      </c>
      <c r="H7" s="31" t="s">
        <v>232</v>
      </c>
      <c r="I7" s="38">
        <v>37011</v>
      </c>
      <c r="J7" s="31" t="s">
        <v>227</v>
      </c>
      <c r="K7" s="38">
        <v>50</v>
      </c>
      <c r="L7" s="31" t="s">
        <v>59</v>
      </c>
      <c r="M7" s="31" t="s">
        <v>58</v>
      </c>
      <c r="N7" s="31" t="s">
        <v>59</v>
      </c>
      <c r="O7" s="31" t="s">
        <v>59</v>
      </c>
      <c r="P7" s="31" t="s">
        <v>59</v>
      </c>
      <c r="Q7" s="31" t="s">
        <v>59</v>
      </c>
      <c r="R7" s="31" t="s">
        <v>59</v>
      </c>
      <c r="S7" s="32">
        <v>1</v>
      </c>
      <c r="T7" s="67">
        <v>43251</v>
      </c>
      <c r="U7" s="65">
        <f>(1533320879/86400)+DATE(1970,1,1)</f>
        <v>43315.769432870366</v>
      </c>
    </row>
    <row r="8" spans="1:21" x14ac:dyDescent="0.4">
      <c r="A8" s="36">
        <v>266503</v>
      </c>
      <c r="B8" s="31" t="s">
        <v>233</v>
      </c>
      <c r="C8" s="31" t="s">
        <v>233</v>
      </c>
      <c r="D8" s="31" t="s">
        <v>234</v>
      </c>
      <c r="E8" s="31" t="s">
        <v>235</v>
      </c>
      <c r="F8" s="31" t="s">
        <v>59</v>
      </c>
      <c r="G8" s="31" t="s">
        <v>236</v>
      </c>
      <c r="H8" s="31" t="s">
        <v>237</v>
      </c>
      <c r="I8" s="38">
        <v>63101</v>
      </c>
      <c r="J8" s="31" t="s">
        <v>227</v>
      </c>
      <c r="K8" s="38">
        <v>50</v>
      </c>
      <c r="L8" s="31" t="s">
        <v>59</v>
      </c>
      <c r="M8" s="31" t="s">
        <v>58</v>
      </c>
      <c r="N8" s="31" t="s">
        <v>59</v>
      </c>
      <c r="O8" s="31" t="s">
        <v>59</v>
      </c>
      <c r="P8" s="31" t="s">
        <v>59</v>
      </c>
      <c r="Q8" s="31" t="s">
        <v>59</v>
      </c>
      <c r="R8" s="31" t="s">
        <v>59</v>
      </c>
      <c r="S8" s="32">
        <v>1</v>
      </c>
      <c r="T8" s="67">
        <v>43251</v>
      </c>
    </row>
    <row r="9" spans="1:21" x14ac:dyDescent="0.4">
      <c r="A9" s="36">
        <v>267080</v>
      </c>
      <c r="B9" s="31" t="s">
        <v>238</v>
      </c>
      <c r="C9" s="31" t="s">
        <v>238</v>
      </c>
      <c r="D9" s="31" t="s">
        <v>178</v>
      </c>
      <c r="E9" s="31" t="s">
        <v>239</v>
      </c>
      <c r="F9" s="31" t="s">
        <v>59</v>
      </c>
      <c r="G9" s="31" t="s">
        <v>180</v>
      </c>
      <c r="H9" s="31" t="s">
        <v>177</v>
      </c>
      <c r="I9" s="38">
        <v>94588</v>
      </c>
      <c r="J9" s="31" t="s">
        <v>240</v>
      </c>
      <c r="K9" s="38">
        <v>1100</v>
      </c>
      <c r="L9" s="31" t="s">
        <v>59</v>
      </c>
      <c r="M9" s="31" t="s">
        <v>241</v>
      </c>
      <c r="N9" s="31" t="s">
        <v>59</v>
      </c>
      <c r="O9" s="31" t="s">
        <v>59</v>
      </c>
      <c r="P9" s="31" t="s">
        <v>59</v>
      </c>
      <c r="Q9" s="31" t="s">
        <v>59</v>
      </c>
      <c r="R9" s="31" t="s">
        <v>59</v>
      </c>
      <c r="S9" s="32">
        <v>1</v>
      </c>
      <c r="T9" s="67">
        <v>43255</v>
      </c>
      <c r="U9" s="65">
        <f>(1534804596/86400)+DATE(1970,1,1)</f>
        <v>43332.942083333328</v>
      </c>
    </row>
    <row r="10" spans="1:21" x14ac:dyDescent="0.4">
      <c r="A10" s="36">
        <v>280386</v>
      </c>
      <c r="B10" s="31" t="s">
        <v>242</v>
      </c>
      <c r="C10" s="31" t="s">
        <v>242</v>
      </c>
      <c r="D10" s="31" t="s">
        <v>178</v>
      </c>
      <c r="E10" s="31" t="s">
        <v>243</v>
      </c>
      <c r="F10" s="31" t="s">
        <v>59</v>
      </c>
      <c r="G10" s="31" t="s">
        <v>180</v>
      </c>
      <c r="H10" s="31" t="s">
        <v>177</v>
      </c>
      <c r="I10" s="38">
        <v>94588</v>
      </c>
      <c r="J10" s="31" t="s">
        <v>60</v>
      </c>
      <c r="K10" s="38">
        <v>1</v>
      </c>
      <c r="L10" s="31" t="s">
        <v>59</v>
      </c>
      <c r="M10" s="31" t="s">
        <v>244</v>
      </c>
      <c r="N10" s="31" t="s">
        <v>59</v>
      </c>
      <c r="O10" s="31" t="s">
        <v>59</v>
      </c>
      <c r="P10" s="31" t="s">
        <v>59</v>
      </c>
      <c r="Q10" s="31" t="s">
        <v>59</v>
      </c>
      <c r="R10" s="31" t="s">
        <v>59</v>
      </c>
      <c r="S10" s="32">
        <v>1</v>
      </c>
      <c r="T10" s="67">
        <v>43301</v>
      </c>
      <c r="U10" s="65">
        <f>(1534804596/86400)+DATE(1970,1,1)</f>
        <v>43332.942083333328</v>
      </c>
    </row>
    <row r="11" spans="1:21" x14ac:dyDescent="0.4">
      <c r="A11" s="36">
        <v>280387</v>
      </c>
      <c r="B11" s="31" t="s">
        <v>245</v>
      </c>
      <c r="C11" s="31" t="s">
        <v>245</v>
      </c>
      <c r="D11" s="31" t="s">
        <v>178</v>
      </c>
      <c r="E11" s="31" t="s">
        <v>243</v>
      </c>
      <c r="F11" s="31" t="s">
        <v>59</v>
      </c>
      <c r="G11" s="31" t="s">
        <v>180</v>
      </c>
      <c r="H11" s="31" t="s">
        <v>177</v>
      </c>
      <c r="I11" s="38">
        <v>94588</v>
      </c>
      <c r="J11" s="31" t="s">
        <v>60</v>
      </c>
      <c r="K11" s="38">
        <v>2</v>
      </c>
      <c r="L11" s="31" t="s">
        <v>59</v>
      </c>
      <c r="M11" s="31" t="s">
        <v>246</v>
      </c>
      <c r="N11" s="31" t="s">
        <v>59</v>
      </c>
      <c r="O11" s="31" t="s">
        <v>59</v>
      </c>
      <c r="P11" s="31" t="s">
        <v>59</v>
      </c>
      <c r="Q11" s="31" t="s">
        <v>59</v>
      </c>
      <c r="R11" s="31" t="s">
        <v>59</v>
      </c>
      <c r="S11" s="32">
        <v>1</v>
      </c>
      <c r="T11" s="67">
        <v>43301</v>
      </c>
      <c r="U11" s="65">
        <f>(1534804597/86400)+DATE(1970,1,1)</f>
        <v>43332.942094907412</v>
      </c>
    </row>
    <row r="12" spans="1:21" x14ac:dyDescent="0.4">
      <c r="A12" s="36">
        <v>308518</v>
      </c>
      <c r="B12" s="31" t="s">
        <v>247</v>
      </c>
      <c r="C12" s="31" t="s">
        <v>247</v>
      </c>
      <c r="D12" s="31" t="s">
        <v>248</v>
      </c>
      <c r="E12" s="31" t="s">
        <v>179</v>
      </c>
      <c r="F12" s="31" t="s">
        <v>59</v>
      </c>
      <c r="G12" s="31" t="s">
        <v>249</v>
      </c>
      <c r="H12" s="31" t="s">
        <v>177</v>
      </c>
      <c r="I12" s="38">
        <v>94568</v>
      </c>
      <c r="J12" s="31" t="s">
        <v>60</v>
      </c>
      <c r="K12" s="38">
        <v>1</v>
      </c>
      <c r="L12" s="31" t="s">
        <v>59</v>
      </c>
      <c r="M12" s="31" t="s">
        <v>250</v>
      </c>
      <c r="N12" s="31" t="s">
        <v>59</v>
      </c>
      <c r="O12" s="31" t="s">
        <v>59</v>
      </c>
      <c r="P12" s="31" t="s">
        <v>59</v>
      </c>
      <c r="Q12" s="31" t="s">
        <v>59</v>
      </c>
      <c r="R12" s="31" t="s">
        <v>59</v>
      </c>
      <c r="S12" s="32">
        <v>1</v>
      </c>
      <c r="T12" s="67">
        <v>43350</v>
      </c>
    </row>
    <row r="13" spans="1:21" x14ac:dyDescent="0.4">
      <c r="A13" s="36">
        <v>317407</v>
      </c>
      <c r="B13" s="31" t="s">
        <v>251</v>
      </c>
      <c r="C13" s="31" t="s">
        <v>251</v>
      </c>
      <c r="D13" s="31" t="s">
        <v>252</v>
      </c>
      <c r="E13" s="31" t="s">
        <v>253</v>
      </c>
      <c r="F13" s="31" t="s">
        <v>59</v>
      </c>
      <c r="G13" s="31" t="s">
        <v>254</v>
      </c>
      <c r="H13" s="31" t="s">
        <v>255</v>
      </c>
      <c r="I13" s="38">
        <v>77340</v>
      </c>
      <c r="J13" s="31" t="s">
        <v>256</v>
      </c>
      <c r="K13" s="38">
        <v>30</v>
      </c>
      <c r="L13" s="31" t="s">
        <v>59</v>
      </c>
      <c r="M13" s="31" t="s">
        <v>58</v>
      </c>
      <c r="N13" s="31" t="s">
        <v>59</v>
      </c>
      <c r="O13" s="31" t="s">
        <v>59</v>
      </c>
      <c r="P13" s="31" t="s">
        <v>59</v>
      </c>
      <c r="Q13" s="31" t="s">
        <v>59</v>
      </c>
      <c r="R13" s="31" t="s">
        <v>59</v>
      </c>
      <c r="S13" s="32">
        <v>1</v>
      </c>
      <c r="T13" s="67">
        <v>43375</v>
      </c>
    </row>
    <row r="1845" spans="4:5" x14ac:dyDescent="0.4">
      <c r="D1845" s="40"/>
      <c r="E1845" s="41"/>
    </row>
    <row r="3060" spans="4:5" x14ac:dyDescent="0.4">
      <c r="D3060" s="40"/>
      <c r="E3060" s="41"/>
    </row>
    <row r="3451" spans="2:4" x14ac:dyDescent="0.4">
      <c r="B3451" s="39"/>
      <c r="C3451" s="39"/>
      <c r="D3451" s="39"/>
    </row>
    <row r="8827" spans="5:5" x14ac:dyDescent="0.4">
      <c r="E8827" s="51"/>
    </row>
    <row r="12414" spans="5:5" x14ac:dyDescent="0.4">
      <c r="E12414" s="51"/>
    </row>
    <row r="14178" spans="2:3" x14ac:dyDescent="0.4">
      <c r="B14178" s="51"/>
      <c r="C14178" s="51"/>
    </row>
    <row r="14487" spans="4:5" x14ac:dyDescent="0.4">
      <c r="D14487" s="40"/>
      <c r="E14487" s="41"/>
    </row>
    <row r="20383" spans="5:5" x14ac:dyDescent="0.4">
      <c r="E20383" s="51"/>
    </row>
    <row r="20399" spans="5:5" x14ac:dyDescent="0.4">
      <c r="E20399" s="51"/>
    </row>
    <row r="26813" spans="5:9" x14ac:dyDescent="0.4">
      <c r="E26813" s="51"/>
      <c r="G26813" s="51"/>
      <c r="I26813" s="52"/>
    </row>
  </sheetData>
  <protectedRanges>
    <protectedRange sqref="B2:T1048576" name="EditCompanies" securityDescriptor="O:WDG:WDD:(A;;CC;;;WD)"/>
  </protectedRanges>
  <sortState ref="A2:U26814">
    <sortCondition ref="A1"/>
  </sortState>
  <dataConsolidate/>
  <conditionalFormatting sqref="B1:B1048576">
    <cfRule type="containsBlanks" priority="1" stopIfTrue="1">
      <formula>LEN(TRIM(B1))=0</formula>
    </cfRule>
  </conditionalFormatting>
  <conditionalFormatting sqref="A1:T1048576">
    <cfRule type="expression" dxfId="14" priority="9">
      <formula>A1&lt;&gt;A1</formula>
    </cfRule>
  </conditionalFormatting>
  <pageMargins left="0.7" right="0.7" top="0.75" bottom="0.75" header="0.3" footer="0.3"/>
  <pageSetup orientation="portrait" horizontalDpi="0"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2" id="{4588B7E2-9020-4B31-92D1-85101497E5CC}">
            <xm:f>ISERROR(MATCH(B2,Users!$D$2:$D$1048576,0))</xm:f>
            <x14:dxf>
              <fill>
                <patternFill>
                  <bgColor rgb="FFFFFF00"/>
                </patternFill>
              </fill>
            </x14:dxf>
          </x14:cfRule>
          <x14:cfRule type="expression" priority="3" id="{4E4654EE-BEDC-4CFD-92C4-EF143584092C}">
            <xm:f>MATCH(B2,MatchMe!$A:$A,0)</xm:f>
            <x14:dxf>
              <fill>
                <patternFill>
                  <bgColor rgb="FF92D050"/>
                </patternFill>
              </fill>
            </x14:dxf>
          </x14:cfRule>
          <xm:sqref>B2:B1048576</xm:sqref>
        </x14:conditionalFormatting>
        <x14:conditionalFormatting xmlns:xm="http://schemas.microsoft.com/office/excel/2006/main">
          <x14:cfRule type="expression" priority="4" id="{A1FCF4BB-7EB0-44F9-B673-57A1F5BC2BD8}">
            <xm:f>MATCH(N2,MatchMe!$B:$B,0)</xm:f>
            <x14:dxf>
              <fill>
                <patternFill>
                  <bgColor rgb="FF92D050"/>
                </patternFill>
              </fill>
            </x14:dxf>
          </x14:cfRule>
          <xm:sqref>N2:N1048576</xm:sqref>
        </x14:conditionalFormatting>
        <x14:conditionalFormatting xmlns:xm="http://schemas.microsoft.com/office/excel/2006/main">
          <x14:cfRule type="expression" priority="5" id="{0A9C84B3-62B3-4243-80FD-7BD287F8610E}">
            <xm:f>MATCH(O2,MatchMe!$C:$C,0)</xm:f>
            <x14:dxf>
              <fill>
                <patternFill>
                  <bgColor rgb="FF92D050"/>
                </patternFill>
              </fill>
            </x14:dxf>
          </x14:cfRule>
          <xm:sqref>O2:O1048576</xm:sqref>
        </x14:conditionalFormatting>
        <x14:conditionalFormatting xmlns:xm="http://schemas.microsoft.com/office/excel/2006/main">
          <x14:cfRule type="expression" priority="6" id="{F26AE86B-0221-49C7-A1B1-B27810E82D2B}">
            <xm:f>MATCH(P2,MatchMe!$D:$D,0)</xm:f>
            <x14:dxf>
              <fill>
                <patternFill>
                  <bgColor rgb="FF92D050"/>
                </patternFill>
              </fill>
            </x14:dxf>
          </x14:cfRule>
          <xm:sqref>P2:P1048576</xm:sqref>
        </x14:conditionalFormatting>
        <x14:conditionalFormatting xmlns:xm="http://schemas.microsoft.com/office/excel/2006/main">
          <x14:cfRule type="expression" priority="7" id="{4E5FE36C-DCAB-4EBC-BC86-5E163279A751}">
            <xm:f>MATCH(Q2,MatchMe!$E:$E,0)</xm:f>
            <x14:dxf>
              <fill>
                <patternFill>
                  <bgColor rgb="FF92D050"/>
                </patternFill>
              </fill>
            </x14:dxf>
          </x14:cfRule>
          <xm:sqref>Q2:Q1048576</xm:sqref>
        </x14:conditionalFormatting>
        <x14:conditionalFormatting xmlns:xm="http://schemas.microsoft.com/office/excel/2006/main">
          <x14:cfRule type="expression" priority="8" id="{4A2EFA14-50D3-4BC4-8E98-8EEC309BCB65}">
            <xm:f>MATCH(R2,MatchMe!$F:$F,0)</xm:f>
            <x14:dxf>
              <fill>
                <patternFill>
                  <bgColor rgb="FF92D050"/>
                </patternFill>
              </fill>
            </x14:dxf>
          </x14:cfRule>
          <xm:sqref>R2:R1048576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958CF69A-3D32-4147-B095-B9ECDDFF2C23}">
          <x14:formula1>
            <xm:f>Configurations!$E$2:$E$1048576</xm:f>
          </x14:formula1>
          <xm:sqref>M3:M1048576</xm:sqref>
        </x14:dataValidation>
        <x14:dataValidation type="list" allowBlank="1" showInputMessage="1" showErrorMessage="1" xr:uid="{86E9B7E3-028B-4009-8096-EAA6E0379C9E}">
          <x14:formula1>
            <xm:f>Settings!$D$2:$D$3</xm:f>
          </x14:formula1>
          <xm:sqref>S2:T1048576</xm:sqref>
        </x14:dataValidation>
        <x14:dataValidation type="list" allowBlank="1" showInputMessage="1" showErrorMessage="1" xr:uid="{3A57A41C-E579-404B-A8AE-ACD222367661}">
          <x14:formula1>
            <xm:f>Configurations!E2:E1048576</xm:f>
          </x14:formula1>
          <xm:sqref>M2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16414-25C0-48BE-8FD3-B681638ACA33}">
  <sheetPr codeName="OriginalUsers"/>
  <dimension ref="A1:P144"/>
  <sheetViews>
    <sheetView topLeftCell="A4" workbookViewId="0"/>
  </sheetViews>
  <sheetFormatPr defaultColWidth="8.84375" defaultRowHeight="14.6" x14ac:dyDescent="0.4"/>
  <cols>
    <col min="1" max="1" width="6.921875" style="37" bestFit="1" customWidth="1"/>
    <col min="2" max="2" width="14.23046875" style="47" bestFit="1" customWidth="1"/>
    <col min="3" max="3" width="16.15234375" style="47" bestFit="1" customWidth="1"/>
    <col min="4" max="4" width="17.765625" style="47" bestFit="1" customWidth="1"/>
    <col min="5" max="5" width="29" style="47" bestFit="1" customWidth="1"/>
    <col min="6" max="6" width="47.53515625" style="47" bestFit="1" customWidth="1"/>
    <col min="7" max="7" width="14.23046875" style="47" bestFit="1" customWidth="1"/>
    <col min="8" max="8" width="13.921875" style="41" bestFit="1" customWidth="1"/>
    <col min="9" max="9" width="15.61328125" style="47" bestFit="1" customWidth="1"/>
    <col min="10" max="10" width="12.15234375" style="47" bestFit="1" customWidth="1"/>
    <col min="11" max="11" width="16.15234375" style="41" bestFit="1" customWidth="1"/>
    <col min="12" max="14" width="13.07421875" style="41" bestFit="1" customWidth="1"/>
    <col min="15" max="15" width="8.23046875" style="32" bestFit="1" customWidth="1"/>
    <col min="16" max="16" width="16.3046875" style="64" bestFit="1" customWidth="1"/>
    <col min="17" max="16384" width="8.84375" style="25"/>
  </cols>
  <sheetData>
    <row r="1" spans="1:16" s="13" customFormat="1" x14ac:dyDescent="0.4">
      <c r="A1" s="42" t="s">
        <v>14</v>
      </c>
      <c r="B1" s="45" t="s">
        <v>26</v>
      </c>
      <c r="C1" s="45" t="s">
        <v>40</v>
      </c>
      <c r="D1" s="45" t="s">
        <v>41</v>
      </c>
      <c r="E1" s="45" t="s">
        <v>28</v>
      </c>
      <c r="F1" s="45" t="s">
        <v>42</v>
      </c>
      <c r="G1" s="45" t="s">
        <v>30</v>
      </c>
      <c r="H1" s="46" t="s">
        <v>17</v>
      </c>
      <c r="I1" s="45" t="s">
        <v>29</v>
      </c>
      <c r="J1" s="45" t="s">
        <v>31</v>
      </c>
      <c r="K1" s="43" t="s">
        <v>10</v>
      </c>
      <c r="L1" s="43" t="s">
        <v>11</v>
      </c>
      <c r="M1" s="43" t="s">
        <v>12</v>
      </c>
      <c r="N1" s="43" t="s">
        <v>13</v>
      </c>
      <c r="O1" s="44" t="s">
        <v>34</v>
      </c>
      <c r="P1" s="63" t="s">
        <v>74</v>
      </c>
    </row>
    <row r="2" spans="1:16" x14ac:dyDescent="0.4">
      <c r="A2" s="37">
        <v>536770</v>
      </c>
      <c r="B2" s="47" t="s">
        <v>191</v>
      </c>
      <c r="C2" s="47" t="s">
        <v>257</v>
      </c>
      <c r="D2" s="47" t="s">
        <v>91</v>
      </c>
      <c r="E2" s="47" t="s">
        <v>258</v>
      </c>
      <c r="F2" s="47" t="s">
        <v>258</v>
      </c>
      <c r="H2" s="41" t="s">
        <v>178</v>
      </c>
      <c r="J2" s="47" t="s">
        <v>201</v>
      </c>
      <c r="K2" s="41" t="s">
        <v>59</v>
      </c>
      <c r="L2" s="41" t="s">
        <v>59</v>
      </c>
      <c r="M2" s="41" t="s">
        <v>59</v>
      </c>
      <c r="N2" s="41" t="s">
        <v>59</v>
      </c>
      <c r="O2" s="32">
        <v>1</v>
      </c>
      <c r="P2" s="64">
        <f>(1538588575/86400)+DATE(1970,1,1)</f>
        <v>43376.738136574073</v>
      </c>
    </row>
    <row r="3" spans="1:16" x14ac:dyDescent="0.4">
      <c r="A3" s="37">
        <v>536786</v>
      </c>
      <c r="B3" s="47" t="s">
        <v>182</v>
      </c>
      <c r="C3" s="47" t="s">
        <v>257</v>
      </c>
      <c r="D3" s="47" t="s">
        <v>211</v>
      </c>
      <c r="E3" s="47" t="s">
        <v>259</v>
      </c>
      <c r="F3" s="47" t="s">
        <v>259</v>
      </c>
      <c r="G3" s="47" t="s">
        <v>260</v>
      </c>
      <c r="H3" s="41" t="s">
        <v>178</v>
      </c>
      <c r="I3" s="47" t="s">
        <v>261</v>
      </c>
      <c r="J3" s="47" t="s">
        <v>61</v>
      </c>
      <c r="K3" s="41" t="s">
        <v>59</v>
      </c>
      <c r="L3" s="41" t="s">
        <v>59</v>
      </c>
      <c r="M3" s="41" t="s">
        <v>59</v>
      </c>
      <c r="N3" s="41" t="s">
        <v>59</v>
      </c>
      <c r="O3" s="32">
        <v>1</v>
      </c>
      <c r="P3" s="64">
        <f>(1538517398/86400)+DATE(1970,1,1)</f>
        <v>43375.9143287037</v>
      </c>
    </row>
    <row r="4" spans="1:16" x14ac:dyDescent="0.4">
      <c r="A4" s="37">
        <v>536787</v>
      </c>
      <c r="B4" s="47" t="s">
        <v>187</v>
      </c>
      <c r="C4" s="47" t="s">
        <v>257</v>
      </c>
      <c r="D4" s="47" t="s">
        <v>213</v>
      </c>
      <c r="E4" s="47" t="s">
        <v>262</v>
      </c>
      <c r="F4" s="47" t="s">
        <v>262</v>
      </c>
      <c r="G4" s="47" t="s">
        <v>260</v>
      </c>
      <c r="H4" s="41" t="s">
        <v>248</v>
      </c>
      <c r="I4" s="47" t="s">
        <v>261</v>
      </c>
      <c r="J4" s="47" t="s">
        <v>61</v>
      </c>
      <c r="K4" s="41" t="s">
        <v>59</v>
      </c>
      <c r="L4" s="41" t="s">
        <v>59</v>
      </c>
      <c r="M4" s="41" t="s">
        <v>59</v>
      </c>
      <c r="N4" s="41" t="s">
        <v>59</v>
      </c>
      <c r="O4" s="32">
        <v>1</v>
      </c>
      <c r="P4" s="64">
        <f>(1538517408/86400)+DATE(1970,1,1)</f>
        <v>43375.914444444439</v>
      </c>
    </row>
    <row r="5" spans="1:16" x14ac:dyDescent="0.4">
      <c r="A5" s="37">
        <v>536789</v>
      </c>
      <c r="B5" s="47" t="s">
        <v>194</v>
      </c>
      <c r="C5" s="47" t="s">
        <v>257</v>
      </c>
      <c r="D5" s="47" t="s">
        <v>215</v>
      </c>
      <c r="E5" s="47" t="s">
        <v>263</v>
      </c>
      <c r="F5" s="47" t="s">
        <v>264</v>
      </c>
      <c r="G5" s="47" t="s">
        <v>260</v>
      </c>
      <c r="H5" s="41" t="s">
        <v>248</v>
      </c>
      <c r="I5" s="47" t="s">
        <v>261</v>
      </c>
      <c r="J5" s="47" t="s">
        <v>61</v>
      </c>
      <c r="K5" s="41" t="s">
        <v>59</v>
      </c>
      <c r="L5" s="41" t="s">
        <v>59</v>
      </c>
      <c r="M5" s="41" t="s">
        <v>59</v>
      </c>
      <c r="N5" s="41" t="s">
        <v>59</v>
      </c>
      <c r="O5" s="32">
        <v>1</v>
      </c>
      <c r="P5" s="64">
        <f>(1538588494/86400)+DATE(1970,1,1)</f>
        <v>43376.737199074079</v>
      </c>
    </row>
    <row r="6" spans="1:16" x14ac:dyDescent="0.4">
      <c r="A6" s="37">
        <v>575163</v>
      </c>
      <c r="B6" s="47" t="s">
        <v>265</v>
      </c>
      <c r="C6" s="47" t="s">
        <v>266</v>
      </c>
      <c r="D6" s="47" t="s">
        <v>215</v>
      </c>
      <c r="E6" s="47" t="s">
        <v>267</v>
      </c>
      <c r="F6" s="47" t="s">
        <v>267</v>
      </c>
      <c r="G6" s="47" t="s">
        <v>268</v>
      </c>
      <c r="H6" s="41" t="s">
        <v>269</v>
      </c>
      <c r="I6" s="47" t="s">
        <v>270</v>
      </c>
      <c r="J6" s="47" t="s">
        <v>181</v>
      </c>
      <c r="K6" s="41" t="s">
        <v>59</v>
      </c>
      <c r="L6" s="41" t="s">
        <v>59</v>
      </c>
      <c r="M6" s="41" t="s">
        <v>59</v>
      </c>
      <c r="N6" s="41" t="s">
        <v>59</v>
      </c>
      <c r="O6" s="32">
        <v>1</v>
      </c>
    </row>
    <row r="7" spans="1:16" x14ac:dyDescent="0.4">
      <c r="A7" s="37">
        <v>582526</v>
      </c>
      <c r="B7" s="47" t="s">
        <v>271</v>
      </c>
      <c r="C7" s="47" t="s">
        <v>183</v>
      </c>
      <c r="D7" s="47" t="s">
        <v>211</v>
      </c>
      <c r="E7" s="47" t="s">
        <v>184</v>
      </c>
      <c r="F7" s="47" t="s">
        <v>185</v>
      </c>
      <c r="H7" s="41" t="s">
        <v>186</v>
      </c>
      <c r="J7" s="47" t="s">
        <v>61</v>
      </c>
      <c r="K7" s="41" t="s">
        <v>59</v>
      </c>
      <c r="L7" s="41" t="s">
        <v>59</v>
      </c>
      <c r="M7" s="41" t="s">
        <v>59</v>
      </c>
      <c r="N7" s="41" t="s">
        <v>59</v>
      </c>
      <c r="O7" s="32">
        <v>1</v>
      </c>
      <c r="P7" s="64">
        <f>(1537218223/86400)+DATE(1970,1,1)</f>
        <v>43360.877581018518</v>
      </c>
    </row>
    <row r="8" spans="1:16" x14ac:dyDescent="0.4">
      <c r="A8" s="37">
        <v>582527</v>
      </c>
      <c r="B8" s="47" t="s">
        <v>271</v>
      </c>
      <c r="C8" s="47" t="s">
        <v>183</v>
      </c>
      <c r="D8" s="47" t="s">
        <v>215</v>
      </c>
      <c r="E8" s="47" t="s">
        <v>197</v>
      </c>
      <c r="F8" s="47" t="s">
        <v>198</v>
      </c>
      <c r="H8" s="41" t="s">
        <v>186</v>
      </c>
      <c r="J8" s="47" t="s">
        <v>61</v>
      </c>
      <c r="K8" s="41" t="s">
        <v>59</v>
      </c>
      <c r="L8" s="41" t="s">
        <v>59</v>
      </c>
      <c r="M8" s="41" t="s">
        <v>59</v>
      </c>
      <c r="N8" s="41" t="s">
        <v>59</v>
      </c>
      <c r="O8" s="32">
        <v>1</v>
      </c>
      <c r="P8" s="64">
        <f>(1538548231/86400)+DATE(1970,1,1)</f>
        <v>43376.271192129629</v>
      </c>
    </row>
    <row r="9" spans="1:16" x14ac:dyDescent="0.4">
      <c r="A9" s="37">
        <v>582528</v>
      </c>
      <c r="B9" s="47" t="s">
        <v>271</v>
      </c>
      <c r="C9" s="47" t="s">
        <v>188</v>
      </c>
      <c r="D9" s="47" t="s">
        <v>215</v>
      </c>
      <c r="E9" s="47" t="s">
        <v>195</v>
      </c>
      <c r="F9" s="47" t="s">
        <v>196</v>
      </c>
      <c r="H9" s="41" t="s">
        <v>186</v>
      </c>
      <c r="J9" s="47" t="s">
        <v>181</v>
      </c>
      <c r="K9" s="41" t="s">
        <v>59</v>
      </c>
      <c r="L9" s="41" t="s">
        <v>59</v>
      </c>
      <c r="M9" s="41" t="s">
        <v>59</v>
      </c>
      <c r="N9" s="41" t="s">
        <v>59</v>
      </c>
      <c r="O9" s="32">
        <v>1</v>
      </c>
      <c r="P9" s="64">
        <f>(1538548231/86400)+DATE(1970,1,1)</f>
        <v>43376.271192129629</v>
      </c>
    </row>
    <row r="10" spans="1:16" x14ac:dyDescent="0.4">
      <c r="A10" s="37">
        <v>582535</v>
      </c>
      <c r="B10" s="47" t="s">
        <v>271</v>
      </c>
      <c r="C10" s="47" t="s">
        <v>183</v>
      </c>
      <c r="D10" s="47" t="s">
        <v>213</v>
      </c>
      <c r="E10" s="47" t="s">
        <v>202</v>
      </c>
      <c r="F10" s="47" t="s">
        <v>203</v>
      </c>
      <c r="H10" s="41" t="s">
        <v>186</v>
      </c>
      <c r="J10" s="47" t="s">
        <v>61</v>
      </c>
      <c r="K10" s="41" t="s">
        <v>59</v>
      </c>
      <c r="L10" s="41" t="s">
        <v>59</v>
      </c>
      <c r="M10" s="41" t="s">
        <v>59</v>
      </c>
      <c r="N10" s="41" t="s">
        <v>59</v>
      </c>
      <c r="O10" s="32">
        <v>1</v>
      </c>
      <c r="P10" s="64">
        <f>(1531204341/86400)+DATE(1970,1,1)</f>
        <v>43291.272465277776</v>
      </c>
    </row>
    <row r="11" spans="1:16" x14ac:dyDescent="0.4">
      <c r="A11" s="37">
        <v>582536</v>
      </c>
      <c r="B11" s="47" t="s">
        <v>271</v>
      </c>
      <c r="C11" s="47" t="s">
        <v>188</v>
      </c>
      <c r="D11" s="47" t="s">
        <v>213</v>
      </c>
      <c r="E11" s="47" t="s">
        <v>189</v>
      </c>
      <c r="F11" s="47" t="s">
        <v>190</v>
      </c>
      <c r="H11" s="41" t="s">
        <v>186</v>
      </c>
      <c r="J11" s="47" t="s">
        <v>181</v>
      </c>
      <c r="K11" s="41" t="s">
        <v>59</v>
      </c>
      <c r="L11" s="41" t="s">
        <v>59</v>
      </c>
      <c r="M11" s="41" t="s">
        <v>59</v>
      </c>
      <c r="N11" s="41" t="s">
        <v>59</v>
      </c>
      <c r="O11" s="32">
        <v>1</v>
      </c>
      <c r="P11" s="64">
        <f>(1531204341/86400)+DATE(1970,1,1)</f>
        <v>43291.272465277776</v>
      </c>
    </row>
    <row r="12" spans="1:16" x14ac:dyDescent="0.4">
      <c r="A12" s="37">
        <v>582538</v>
      </c>
      <c r="B12" s="47" t="s">
        <v>271</v>
      </c>
      <c r="C12" s="47" t="s">
        <v>183</v>
      </c>
      <c r="D12" s="47" t="s">
        <v>91</v>
      </c>
      <c r="E12" s="47" t="s">
        <v>199</v>
      </c>
      <c r="F12" s="47" t="s">
        <v>200</v>
      </c>
      <c r="H12" s="41" t="s">
        <v>186</v>
      </c>
      <c r="J12" s="47" t="s">
        <v>201</v>
      </c>
      <c r="K12" s="41" t="s">
        <v>59</v>
      </c>
      <c r="L12" s="41" t="s">
        <v>59</v>
      </c>
      <c r="M12" s="41" t="s">
        <v>59</v>
      </c>
      <c r="N12" s="41" t="s">
        <v>59</v>
      </c>
      <c r="O12" s="32">
        <v>1</v>
      </c>
    </row>
    <row r="13" spans="1:16" x14ac:dyDescent="0.4">
      <c r="A13" s="37">
        <v>582540</v>
      </c>
      <c r="B13" s="47" t="s">
        <v>271</v>
      </c>
      <c r="C13" s="47" t="s">
        <v>188</v>
      </c>
      <c r="D13" s="47" t="s">
        <v>91</v>
      </c>
      <c r="E13" s="47" t="s">
        <v>192</v>
      </c>
      <c r="F13" s="47" t="s">
        <v>193</v>
      </c>
      <c r="H13" s="41" t="s">
        <v>186</v>
      </c>
      <c r="J13" s="47" t="s">
        <v>47</v>
      </c>
      <c r="K13" s="41" t="s">
        <v>59</v>
      </c>
      <c r="L13" s="41" t="s">
        <v>59</v>
      </c>
      <c r="M13" s="41" t="s">
        <v>59</v>
      </c>
      <c r="N13" s="41" t="s">
        <v>59</v>
      </c>
      <c r="O13" s="32">
        <v>1</v>
      </c>
      <c r="P13" s="64">
        <f>(1534401042/86400)+DATE(1970,1,1)</f>
        <v>43328.271319444444</v>
      </c>
    </row>
    <row r="14" spans="1:16" x14ac:dyDescent="0.4">
      <c r="A14" s="37">
        <v>584645</v>
      </c>
      <c r="B14" s="47" t="s">
        <v>272</v>
      </c>
      <c r="C14" s="47" t="s">
        <v>188</v>
      </c>
      <c r="D14" s="47" t="s">
        <v>217</v>
      </c>
      <c r="E14" s="47" t="s">
        <v>263</v>
      </c>
      <c r="F14" s="47" t="s">
        <v>273</v>
      </c>
      <c r="G14" s="47" t="s">
        <v>274</v>
      </c>
      <c r="H14" s="41" t="s">
        <v>275</v>
      </c>
      <c r="I14" s="47" t="s">
        <v>276</v>
      </c>
      <c r="J14" s="47" t="s">
        <v>61</v>
      </c>
      <c r="K14" s="41" t="s">
        <v>59</v>
      </c>
      <c r="L14" s="41" t="s">
        <v>59</v>
      </c>
      <c r="M14" s="41" t="s">
        <v>59</v>
      </c>
      <c r="N14" s="41" t="s">
        <v>59</v>
      </c>
      <c r="O14" s="32">
        <v>1</v>
      </c>
    </row>
    <row r="15" spans="1:16" x14ac:dyDescent="0.4">
      <c r="A15" s="37">
        <v>584672</v>
      </c>
      <c r="B15" s="47" t="s">
        <v>272</v>
      </c>
      <c r="C15" s="47" t="s">
        <v>188</v>
      </c>
      <c r="D15" s="47" t="s">
        <v>217</v>
      </c>
      <c r="E15" s="47" t="s">
        <v>277</v>
      </c>
      <c r="F15" s="47" t="s">
        <v>278</v>
      </c>
      <c r="H15" s="41" t="s">
        <v>178</v>
      </c>
      <c r="J15" s="47" t="s">
        <v>61</v>
      </c>
      <c r="K15" s="41" t="s">
        <v>59</v>
      </c>
      <c r="L15" s="41" t="s">
        <v>59</v>
      </c>
      <c r="M15" s="41" t="s">
        <v>59</v>
      </c>
      <c r="N15" s="41" t="s">
        <v>59</v>
      </c>
      <c r="O15" s="32">
        <v>1</v>
      </c>
    </row>
    <row r="16" spans="1:16" x14ac:dyDescent="0.4">
      <c r="A16" s="37">
        <v>585036</v>
      </c>
      <c r="B16" s="47" t="s">
        <v>181</v>
      </c>
      <c r="C16" s="47" t="s">
        <v>188</v>
      </c>
      <c r="D16" s="47" t="s">
        <v>217</v>
      </c>
      <c r="E16" s="47" t="s">
        <v>277</v>
      </c>
      <c r="F16" s="47" t="s">
        <v>279</v>
      </c>
      <c r="H16" s="41" t="s">
        <v>178</v>
      </c>
      <c r="J16" s="47" t="s">
        <v>181</v>
      </c>
      <c r="K16" s="41" t="s">
        <v>59</v>
      </c>
      <c r="L16" s="41" t="s">
        <v>59</v>
      </c>
      <c r="M16" s="41" t="s">
        <v>59</v>
      </c>
      <c r="N16" s="41" t="s">
        <v>59</v>
      </c>
      <c r="O16" s="32">
        <v>1</v>
      </c>
    </row>
    <row r="17" spans="1:16" x14ac:dyDescent="0.4">
      <c r="A17" s="37">
        <v>590676</v>
      </c>
      <c r="B17" s="47" t="s">
        <v>205</v>
      </c>
      <c r="C17" s="47" t="s">
        <v>280</v>
      </c>
      <c r="D17" s="47" t="s">
        <v>91</v>
      </c>
      <c r="E17" s="47" t="s">
        <v>277</v>
      </c>
      <c r="F17" s="47" t="s">
        <v>281</v>
      </c>
      <c r="H17" s="41" t="s">
        <v>248</v>
      </c>
      <c r="J17" s="47" t="s">
        <v>201</v>
      </c>
      <c r="K17" s="41" t="s">
        <v>59</v>
      </c>
      <c r="L17" s="41" t="s">
        <v>59</v>
      </c>
      <c r="M17" s="41" t="s">
        <v>59</v>
      </c>
      <c r="N17" s="41" t="s">
        <v>59</v>
      </c>
      <c r="O17" s="32">
        <v>1</v>
      </c>
    </row>
    <row r="18" spans="1:16" x14ac:dyDescent="0.4">
      <c r="A18" s="37">
        <v>598640</v>
      </c>
      <c r="B18" s="47" t="s">
        <v>282</v>
      </c>
      <c r="C18" s="47" t="s">
        <v>283</v>
      </c>
      <c r="D18" s="47" t="s">
        <v>228</v>
      </c>
      <c r="E18" s="47" t="s">
        <v>284</v>
      </c>
      <c r="F18" s="47" t="s">
        <v>284</v>
      </c>
      <c r="G18" s="47" t="s">
        <v>285</v>
      </c>
      <c r="H18" s="41" t="s">
        <v>286</v>
      </c>
      <c r="J18" s="47" t="s">
        <v>61</v>
      </c>
      <c r="K18" s="41" t="s">
        <v>59</v>
      </c>
      <c r="L18" s="41" t="s">
        <v>59</v>
      </c>
      <c r="M18" s="41" t="s">
        <v>59</v>
      </c>
      <c r="N18" s="41" t="s">
        <v>59</v>
      </c>
      <c r="O18" s="32">
        <v>1</v>
      </c>
    </row>
    <row r="19" spans="1:16" x14ac:dyDescent="0.4">
      <c r="A19" s="37">
        <v>598642</v>
      </c>
      <c r="B19" s="47" t="s">
        <v>287</v>
      </c>
      <c r="C19" s="47" t="s">
        <v>288</v>
      </c>
      <c r="D19" s="39" t="s">
        <v>222</v>
      </c>
      <c r="E19" s="47" t="s">
        <v>289</v>
      </c>
      <c r="F19" s="47" t="s">
        <v>289</v>
      </c>
      <c r="G19" s="47" t="s">
        <v>285</v>
      </c>
      <c r="H19" s="41" t="s">
        <v>290</v>
      </c>
      <c r="J19" s="47" t="s">
        <v>61</v>
      </c>
      <c r="K19" s="41" t="s">
        <v>59</v>
      </c>
      <c r="L19" s="41" t="s">
        <v>59</v>
      </c>
      <c r="M19" s="41" t="s">
        <v>59</v>
      </c>
      <c r="N19" s="41" t="s">
        <v>59</v>
      </c>
      <c r="O19" s="32">
        <v>1</v>
      </c>
      <c r="P19" s="64">
        <f>(1534401033/86400)+DATE(1970,1,1)</f>
        <v>43328.271215277782</v>
      </c>
    </row>
    <row r="20" spans="1:16" x14ac:dyDescent="0.4">
      <c r="A20" s="37">
        <v>598644</v>
      </c>
      <c r="B20" s="47" t="s">
        <v>291</v>
      </c>
      <c r="C20" s="47" t="s">
        <v>292</v>
      </c>
      <c r="D20" s="47" t="s">
        <v>233</v>
      </c>
      <c r="E20" s="47" t="s">
        <v>293</v>
      </c>
      <c r="F20" s="47" t="s">
        <v>293</v>
      </c>
      <c r="H20" s="41" t="s">
        <v>294</v>
      </c>
      <c r="J20" s="47" t="s">
        <v>61</v>
      </c>
      <c r="K20" s="41" t="s">
        <v>59</v>
      </c>
      <c r="L20" s="41" t="s">
        <v>59</v>
      </c>
      <c r="M20" s="41" t="s">
        <v>59</v>
      </c>
      <c r="N20" s="41" t="s">
        <v>59</v>
      </c>
      <c r="O20" s="32">
        <v>1</v>
      </c>
    </row>
    <row r="21" spans="1:16" x14ac:dyDescent="0.4">
      <c r="A21" s="37">
        <v>599445</v>
      </c>
      <c r="B21" s="47" t="s">
        <v>295</v>
      </c>
      <c r="C21" s="47" t="s">
        <v>296</v>
      </c>
      <c r="D21" s="47" t="s">
        <v>215</v>
      </c>
      <c r="E21" s="47" t="s">
        <v>297</v>
      </c>
      <c r="F21" s="47" t="s">
        <v>297</v>
      </c>
      <c r="H21" s="41" t="s">
        <v>298</v>
      </c>
      <c r="J21" s="47" t="s">
        <v>181</v>
      </c>
      <c r="K21" s="41" t="s">
        <v>59</v>
      </c>
      <c r="L21" s="41" t="s">
        <v>59</v>
      </c>
      <c r="M21" s="41" t="s">
        <v>59</v>
      </c>
      <c r="N21" s="41" t="s">
        <v>59</v>
      </c>
      <c r="O21" s="32">
        <v>1</v>
      </c>
      <c r="P21" s="64">
        <f>(1534401028/86400)+DATE(1970,1,1)</f>
        <v>43328.271157407406</v>
      </c>
    </row>
    <row r="22" spans="1:16" x14ac:dyDescent="0.4">
      <c r="A22" s="37">
        <v>699632</v>
      </c>
      <c r="B22" s="47" t="s">
        <v>299</v>
      </c>
      <c r="C22" s="47" t="s">
        <v>300</v>
      </c>
      <c r="D22" s="47" t="s">
        <v>215</v>
      </c>
      <c r="E22" s="47" t="s">
        <v>301</v>
      </c>
      <c r="F22" s="47" t="s">
        <v>302</v>
      </c>
      <c r="H22" s="41" t="s">
        <v>303</v>
      </c>
      <c r="J22" s="47" t="s">
        <v>61</v>
      </c>
      <c r="K22" s="41" t="s">
        <v>59</v>
      </c>
      <c r="L22" s="41" t="s">
        <v>59</v>
      </c>
      <c r="M22" s="41" t="s">
        <v>59</v>
      </c>
      <c r="N22" s="41" t="s">
        <v>59</v>
      </c>
      <c r="O22" s="32">
        <v>1</v>
      </c>
      <c r="P22" s="64">
        <f>(1536733814/86400)+DATE(1970,1,1)</f>
        <v>43355.270995370374</v>
      </c>
    </row>
    <row r="23" spans="1:16" x14ac:dyDescent="0.4">
      <c r="A23" s="37">
        <v>699883</v>
      </c>
      <c r="B23" s="47" t="s">
        <v>304</v>
      </c>
      <c r="C23" s="47" t="s">
        <v>205</v>
      </c>
      <c r="D23" s="47" t="s">
        <v>215</v>
      </c>
      <c r="E23" s="47" t="s">
        <v>305</v>
      </c>
      <c r="F23" s="47" t="s">
        <v>306</v>
      </c>
      <c r="H23" s="41" t="s">
        <v>307</v>
      </c>
      <c r="J23" s="47" t="s">
        <v>181</v>
      </c>
      <c r="K23" s="41" t="s">
        <v>59</v>
      </c>
      <c r="L23" s="41" t="s">
        <v>59</v>
      </c>
      <c r="M23" s="41" t="s">
        <v>59</v>
      </c>
      <c r="N23" s="41" t="s">
        <v>59</v>
      </c>
      <c r="O23" s="32">
        <v>1</v>
      </c>
    </row>
    <row r="24" spans="1:16" x14ac:dyDescent="0.4">
      <c r="A24" s="37">
        <v>699990</v>
      </c>
      <c r="B24" s="47" t="s">
        <v>308</v>
      </c>
      <c r="C24" s="47" t="s">
        <v>309</v>
      </c>
      <c r="D24" s="47" t="s">
        <v>215</v>
      </c>
      <c r="E24" s="47" t="s">
        <v>310</v>
      </c>
      <c r="F24" s="47" t="s">
        <v>311</v>
      </c>
      <c r="G24" s="47" t="s">
        <v>312</v>
      </c>
      <c r="H24" s="41" t="s">
        <v>313</v>
      </c>
      <c r="I24" s="47" t="s">
        <v>261</v>
      </c>
      <c r="J24" s="47" t="s">
        <v>61</v>
      </c>
      <c r="K24" s="41" t="s">
        <v>59</v>
      </c>
      <c r="L24" s="41" t="s">
        <v>59</v>
      </c>
      <c r="M24" s="41" t="s">
        <v>59</v>
      </c>
      <c r="N24" s="41" t="s">
        <v>59</v>
      </c>
      <c r="O24" s="32">
        <v>1</v>
      </c>
      <c r="P24" s="64">
        <f>(1536733814/86400)+DATE(1970,1,1)</f>
        <v>43355.270995370374</v>
      </c>
    </row>
    <row r="25" spans="1:16" x14ac:dyDescent="0.4">
      <c r="A25" s="37">
        <v>701171</v>
      </c>
      <c r="B25" s="47" t="s">
        <v>314</v>
      </c>
      <c r="C25" s="47" t="s">
        <v>315</v>
      </c>
      <c r="D25" s="47" t="s">
        <v>215</v>
      </c>
      <c r="E25" s="47" t="s">
        <v>310</v>
      </c>
      <c r="F25" s="47" t="s">
        <v>316</v>
      </c>
      <c r="G25" s="47" t="s">
        <v>274</v>
      </c>
      <c r="H25" s="41" t="s">
        <v>313</v>
      </c>
      <c r="I25" s="47" t="s">
        <v>261</v>
      </c>
      <c r="J25" s="47" t="s">
        <v>61</v>
      </c>
      <c r="K25" s="41" t="s">
        <v>59</v>
      </c>
      <c r="L25" s="41" t="s">
        <v>59</v>
      </c>
      <c r="M25" s="41" t="s">
        <v>59</v>
      </c>
      <c r="N25" s="41" t="s">
        <v>59</v>
      </c>
      <c r="O25" s="32">
        <v>1</v>
      </c>
      <c r="P25" s="64">
        <f>(1536733814/86400)+DATE(1970,1,1)</f>
        <v>43355.270995370374</v>
      </c>
    </row>
    <row r="26" spans="1:16" x14ac:dyDescent="0.4">
      <c r="A26" s="37">
        <v>701434</v>
      </c>
      <c r="B26" s="47" t="s">
        <v>299</v>
      </c>
      <c r="C26" s="47" t="s">
        <v>317</v>
      </c>
      <c r="D26" s="47" t="s">
        <v>215</v>
      </c>
      <c r="E26" s="47" t="s">
        <v>318</v>
      </c>
      <c r="F26" s="47" t="s">
        <v>319</v>
      </c>
      <c r="H26" s="41" t="s">
        <v>320</v>
      </c>
      <c r="J26" s="47" t="s">
        <v>61</v>
      </c>
      <c r="K26" s="41" t="s">
        <v>59</v>
      </c>
      <c r="L26" s="41" t="s">
        <v>59</v>
      </c>
      <c r="M26" s="41" t="s">
        <v>59</v>
      </c>
      <c r="N26" s="41" t="s">
        <v>59</v>
      </c>
      <c r="O26" s="32">
        <v>1</v>
      </c>
    </row>
    <row r="27" spans="1:16" x14ac:dyDescent="0.4">
      <c r="A27" s="37">
        <v>701554</v>
      </c>
      <c r="B27" s="47" t="s">
        <v>299</v>
      </c>
      <c r="C27" s="47" t="s">
        <v>321</v>
      </c>
      <c r="D27" s="47" t="s">
        <v>215</v>
      </c>
      <c r="E27" s="47" t="s">
        <v>322</v>
      </c>
      <c r="F27" s="47" t="s">
        <v>323</v>
      </c>
      <c r="H27" s="41" t="s">
        <v>324</v>
      </c>
      <c r="J27" s="47" t="s">
        <v>61</v>
      </c>
      <c r="K27" s="41" t="s">
        <v>59</v>
      </c>
      <c r="L27" s="41" t="s">
        <v>59</v>
      </c>
      <c r="M27" s="41" t="s">
        <v>59</v>
      </c>
      <c r="N27" s="41" t="s">
        <v>59</v>
      </c>
      <c r="O27" s="32">
        <v>1</v>
      </c>
    </row>
    <row r="28" spans="1:16" x14ac:dyDescent="0.4">
      <c r="A28" s="37">
        <v>701560</v>
      </c>
      <c r="B28" s="47" t="s">
        <v>299</v>
      </c>
      <c r="C28" s="47" t="s">
        <v>325</v>
      </c>
      <c r="D28" s="47" t="s">
        <v>215</v>
      </c>
      <c r="E28" s="47" t="s">
        <v>326</v>
      </c>
      <c r="F28" s="47" t="s">
        <v>326</v>
      </c>
      <c r="H28" s="41" t="s">
        <v>324</v>
      </c>
      <c r="J28" s="47" t="s">
        <v>61</v>
      </c>
      <c r="K28" s="41" t="s">
        <v>59</v>
      </c>
      <c r="L28" s="41" t="s">
        <v>59</v>
      </c>
      <c r="M28" s="41" t="s">
        <v>59</v>
      </c>
      <c r="N28" s="41" t="s">
        <v>59</v>
      </c>
      <c r="O28" s="32">
        <v>1</v>
      </c>
    </row>
    <row r="29" spans="1:16" x14ac:dyDescent="0.4">
      <c r="A29" s="37">
        <v>702197</v>
      </c>
      <c r="B29" s="47" t="s">
        <v>327</v>
      </c>
      <c r="C29" s="47" t="s">
        <v>328</v>
      </c>
      <c r="D29" s="47" t="s">
        <v>91</v>
      </c>
      <c r="E29" s="47" t="s">
        <v>329</v>
      </c>
      <c r="F29" s="47" t="s">
        <v>329</v>
      </c>
      <c r="G29" s="47" t="s">
        <v>330</v>
      </c>
      <c r="H29" s="41" t="s">
        <v>331</v>
      </c>
      <c r="I29" s="47" t="s">
        <v>270</v>
      </c>
      <c r="J29" s="47" t="s">
        <v>181</v>
      </c>
      <c r="K29" s="41" t="s">
        <v>59</v>
      </c>
      <c r="L29" s="41" t="s">
        <v>59</v>
      </c>
      <c r="M29" s="41" t="s">
        <v>59</v>
      </c>
      <c r="N29" s="41" t="s">
        <v>59</v>
      </c>
      <c r="O29" s="32">
        <v>1</v>
      </c>
    </row>
    <row r="30" spans="1:16" x14ac:dyDescent="0.4">
      <c r="A30" s="37">
        <v>702956</v>
      </c>
      <c r="B30" s="47" t="s">
        <v>327</v>
      </c>
      <c r="C30" s="47" t="s">
        <v>332</v>
      </c>
      <c r="D30" s="47" t="s">
        <v>91</v>
      </c>
      <c r="E30" s="47" t="s">
        <v>333</v>
      </c>
      <c r="F30" s="47" t="s">
        <v>333</v>
      </c>
      <c r="G30" s="47" t="s">
        <v>334</v>
      </c>
      <c r="H30" s="41" t="s">
        <v>335</v>
      </c>
      <c r="I30" s="47" t="s">
        <v>334</v>
      </c>
      <c r="J30" s="47" t="s">
        <v>181</v>
      </c>
      <c r="K30" s="41" t="s">
        <v>59</v>
      </c>
      <c r="L30" s="41" t="s">
        <v>59</v>
      </c>
      <c r="M30" s="41" t="s">
        <v>59</v>
      </c>
      <c r="N30" s="41" t="s">
        <v>59</v>
      </c>
      <c r="O30" s="32">
        <v>1</v>
      </c>
    </row>
    <row r="31" spans="1:16" x14ac:dyDescent="0.4">
      <c r="A31" s="37">
        <v>702957</v>
      </c>
      <c r="B31" s="47" t="s">
        <v>336</v>
      </c>
      <c r="C31" s="47" t="s">
        <v>337</v>
      </c>
      <c r="D31" s="47" t="s">
        <v>91</v>
      </c>
      <c r="E31" s="47" t="s">
        <v>338</v>
      </c>
      <c r="F31" s="47" t="s">
        <v>338</v>
      </c>
      <c r="G31" s="47" t="s">
        <v>334</v>
      </c>
      <c r="H31" s="41" t="s">
        <v>339</v>
      </c>
      <c r="I31" s="47" t="s">
        <v>334</v>
      </c>
      <c r="J31" s="47" t="s">
        <v>181</v>
      </c>
      <c r="K31" s="41" t="s">
        <v>59</v>
      </c>
      <c r="L31" s="41" t="s">
        <v>59</v>
      </c>
      <c r="M31" s="41" t="s">
        <v>59</v>
      </c>
      <c r="N31" s="41" t="s">
        <v>59</v>
      </c>
      <c r="O31" s="32">
        <v>1</v>
      </c>
    </row>
    <row r="32" spans="1:16" x14ac:dyDescent="0.4">
      <c r="A32" s="37">
        <v>702958</v>
      </c>
      <c r="B32" s="47" t="s">
        <v>340</v>
      </c>
      <c r="C32" s="47" t="s">
        <v>341</v>
      </c>
      <c r="D32" s="47" t="s">
        <v>91</v>
      </c>
      <c r="E32" s="47" t="s">
        <v>342</v>
      </c>
      <c r="F32" s="47" t="s">
        <v>342</v>
      </c>
      <c r="G32" s="47" t="s">
        <v>334</v>
      </c>
      <c r="H32" s="41" t="s">
        <v>343</v>
      </c>
      <c r="I32" s="47" t="s">
        <v>334</v>
      </c>
      <c r="J32" s="47" t="s">
        <v>181</v>
      </c>
      <c r="K32" s="41" t="s">
        <v>59</v>
      </c>
      <c r="L32" s="41" t="s">
        <v>59</v>
      </c>
      <c r="M32" s="41" t="s">
        <v>59</v>
      </c>
      <c r="N32" s="41" t="s">
        <v>59</v>
      </c>
      <c r="O32" s="32">
        <v>1</v>
      </c>
    </row>
    <row r="33" spans="1:15" x14ac:dyDescent="0.4">
      <c r="A33" s="37">
        <v>702959</v>
      </c>
      <c r="B33" s="47" t="s">
        <v>344</v>
      </c>
      <c r="C33" s="47" t="s">
        <v>345</v>
      </c>
      <c r="D33" s="47" t="s">
        <v>91</v>
      </c>
      <c r="E33" s="47" t="s">
        <v>346</v>
      </c>
      <c r="F33" s="47" t="s">
        <v>346</v>
      </c>
      <c r="G33" s="47" t="s">
        <v>334</v>
      </c>
      <c r="H33" s="41" t="s">
        <v>347</v>
      </c>
      <c r="I33" s="47" t="s">
        <v>334</v>
      </c>
      <c r="J33" s="47" t="s">
        <v>181</v>
      </c>
      <c r="K33" s="41" t="s">
        <v>59</v>
      </c>
      <c r="L33" s="41" t="s">
        <v>59</v>
      </c>
      <c r="M33" s="41" t="s">
        <v>59</v>
      </c>
      <c r="N33" s="41" t="s">
        <v>59</v>
      </c>
      <c r="O33" s="32">
        <v>1</v>
      </c>
    </row>
    <row r="34" spans="1:15" x14ac:dyDescent="0.4">
      <c r="A34" s="37">
        <v>702960</v>
      </c>
      <c r="B34" s="47" t="s">
        <v>348</v>
      </c>
      <c r="C34" s="47" t="s">
        <v>349</v>
      </c>
      <c r="D34" s="47" t="s">
        <v>91</v>
      </c>
      <c r="E34" s="47" t="s">
        <v>350</v>
      </c>
      <c r="F34" s="47" t="s">
        <v>350</v>
      </c>
      <c r="G34" s="47" t="s">
        <v>334</v>
      </c>
      <c r="H34" s="41" t="s">
        <v>351</v>
      </c>
      <c r="I34" s="47" t="s">
        <v>334</v>
      </c>
      <c r="J34" s="47" t="s">
        <v>181</v>
      </c>
      <c r="K34" s="41" t="s">
        <v>59</v>
      </c>
      <c r="L34" s="41" t="s">
        <v>59</v>
      </c>
      <c r="M34" s="41" t="s">
        <v>59</v>
      </c>
      <c r="N34" s="41" t="s">
        <v>59</v>
      </c>
      <c r="O34" s="32">
        <v>1</v>
      </c>
    </row>
    <row r="35" spans="1:15" x14ac:dyDescent="0.4">
      <c r="A35" s="37">
        <v>702961</v>
      </c>
      <c r="B35" s="47" t="s">
        <v>352</v>
      </c>
      <c r="C35" s="47" t="s">
        <v>353</v>
      </c>
      <c r="D35" s="47" t="s">
        <v>91</v>
      </c>
      <c r="E35" s="47" t="s">
        <v>354</v>
      </c>
      <c r="F35" s="47" t="s">
        <v>354</v>
      </c>
      <c r="G35" s="47" t="s">
        <v>334</v>
      </c>
      <c r="H35" s="41" t="s">
        <v>355</v>
      </c>
      <c r="I35" s="47" t="s">
        <v>334</v>
      </c>
      <c r="J35" s="47" t="s">
        <v>181</v>
      </c>
      <c r="K35" s="41" t="s">
        <v>59</v>
      </c>
      <c r="L35" s="41" t="s">
        <v>59</v>
      </c>
      <c r="M35" s="41" t="s">
        <v>59</v>
      </c>
      <c r="N35" s="41" t="s">
        <v>59</v>
      </c>
      <c r="O35" s="32">
        <v>1</v>
      </c>
    </row>
    <row r="36" spans="1:15" x14ac:dyDescent="0.4">
      <c r="A36" s="37">
        <v>702962</v>
      </c>
      <c r="B36" s="47" t="s">
        <v>356</v>
      </c>
      <c r="C36" s="47" t="s">
        <v>357</v>
      </c>
      <c r="D36" s="47" t="s">
        <v>91</v>
      </c>
      <c r="E36" s="47" t="s">
        <v>358</v>
      </c>
      <c r="F36" s="47" t="s">
        <v>358</v>
      </c>
      <c r="G36" s="47" t="s">
        <v>334</v>
      </c>
      <c r="H36" s="41" t="s">
        <v>359</v>
      </c>
      <c r="I36" s="47" t="s">
        <v>334</v>
      </c>
      <c r="J36" s="47" t="s">
        <v>181</v>
      </c>
      <c r="K36" s="41" t="s">
        <v>59</v>
      </c>
      <c r="L36" s="41" t="s">
        <v>59</v>
      </c>
      <c r="M36" s="41" t="s">
        <v>59</v>
      </c>
      <c r="N36" s="41" t="s">
        <v>59</v>
      </c>
      <c r="O36" s="32">
        <v>1</v>
      </c>
    </row>
    <row r="37" spans="1:15" x14ac:dyDescent="0.4">
      <c r="A37" s="37">
        <v>702963</v>
      </c>
      <c r="B37" s="47" t="s">
        <v>360</v>
      </c>
      <c r="C37" s="47" t="s">
        <v>361</v>
      </c>
      <c r="D37" s="47" t="s">
        <v>91</v>
      </c>
      <c r="E37" s="47" t="s">
        <v>362</v>
      </c>
      <c r="F37" s="47" t="s">
        <v>362</v>
      </c>
      <c r="G37" s="47" t="s">
        <v>334</v>
      </c>
      <c r="H37" s="41" t="s">
        <v>363</v>
      </c>
      <c r="I37" s="47" t="s">
        <v>334</v>
      </c>
      <c r="J37" s="47" t="s">
        <v>181</v>
      </c>
      <c r="K37" s="41" t="s">
        <v>59</v>
      </c>
      <c r="L37" s="41" t="s">
        <v>59</v>
      </c>
      <c r="M37" s="41" t="s">
        <v>59</v>
      </c>
      <c r="N37" s="41" t="s">
        <v>59</v>
      </c>
      <c r="O37" s="32">
        <v>1</v>
      </c>
    </row>
    <row r="38" spans="1:15" x14ac:dyDescent="0.4">
      <c r="A38" s="37">
        <v>702964</v>
      </c>
      <c r="B38" s="47" t="s">
        <v>364</v>
      </c>
      <c r="C38" s="47" t="s">
        <v>365</v>
      </c>
      <c r="D38" s="47" t="s">
        <v>91</v>
      </c>
      <c r="E38" s="47" t="s">
        <v>366</v>
      </c>
      <c r="F38" s="47" t="s">
        <v>366</v>
      </c>
      <c r="G38" s="47" t="s">
        <v>334</v>
      </c>
      <c r="H38" s="41" t="s">
        <v>367</v>
      </c>
      <c r="I38" s="47" t="s">
        <v>334</v>
      </c>
      <c r="J38" s="47" t="s">
        <v>181</v>
      </c>
      <c r="K38" s="41" t="s">
        <v>59</v>
      </c>
      <c r="L38" s="41" t="s">
        <v>59</v>
      </c>
      <c r="M38" s="41" t="s">
        <v>59</v>
      </c>
      <c r="N38" s="41" t="s">
        <v>59</v>
      </c>
      <c r="O38" s="32">
        <v>1</v>
      </c>
    </row>
    <row r="39" spans="1:15" x14ac:dyDescent="0.4">
      <c r="A39" s="37">
        <v>702965</v>
      </c>
      <c r="B39" s="47" t="s">
        <v>368</v>
      </c>
      <c r="C39" s="47" t="s">
        <v>369</v>
      </c>
      <c r="D39" s="47" t="s">
        <v>91</v>
      </c>
      <c r="E39" s="47" t="s">
        <v>370</v>
      </c>
      <c r="F39" s="47" t="s">
        <v>370</v>
      </c>
      <c r="G39" s="47" t="s">
        <v>334</v>
      </c>
      <c r="H39" s="41" t="s">
        <v>371</v>
      </c>
      <c r="I39" s="47" t="s">
        <v>334</v>
      </c>
      <c r="J39" s="47" t="s">
        <v>181</v>
      </c>
      <c r="K39" s="41" t="s">
        <v>59</v>
      </c>
      <c r="L39" s="41" t="s">
        <v>59</v>
      </c>
      <c r="M39" s="41" t="s">
        <v>59</v>
      </c>
      <c r="N39" s="41" t="s">
        <v>59</v>
      </c>
      <c r="O39" s="32">
        <v>1</v>
      </c>
    </row>
    <row r="40" spans="1:15" x14ac:dyDescent="0.4">
      <c r="A40" s="37">
        <v>702966</v>
      </c>
      <c r="B40" s="47" t="s">
        <v>372</v>
      </c>
      <c r="C40" s="47" t="s">
        <v>373</v>
      </c>
      <c r="D40" s="47" t="s">
        <v>91</v>
      </c>
      <c r="E40" s="47" t="s">
        <v>374</v>
      </c>
      <c r="F40" s="47" t="s">
        <v>375</v>
      </c>
      <c r="G40" s="47" t="s">
        <v>334</v>
      </c>
      <c r="H40" s="41" t="s">
        <v>376</v>
      </c>
      <c r="I40" s="47" t="s">
        <v>334</v>
      </c>
      <c r="J40" s="47" t="s">
        <v>181</v>
      </c>
      <c r="K40" s="41" t="s">
        <v>59</v>
      </c>
      <c r="L40" s="41" t="s">
        <v>59</v>
      </c>
      <c r="M40" s="41" t="s">
        <v>59</v>
      </c>
      <c r="N40" s="41" t="s">
        <v>59</v>
      </c>
      <c r="O40" s="32">
        <v>1</v>
      </c>
    </row>
    <row r="41" spans="1:15" x14ac:dyDescent="0.4">
      <c r="A41" s="37">
        <v>702967</v>
      </c>
      <c r="B41" s="47" t="s">
        <v>336</v>
      </c>
      <c r="C41" s="47" t="s">
        <v>377</v>
      </c>
      <c r="D41" s="47" t="s">
        <v>91</v>
      </c>
      <c r="E41" s="47" t="s">
        <v>378</v>
      </c>
      <c r="F41" s="47" t="s">
        <v>378</v>
      </c>
      <c r="G41" s="47" t="s">
        <v>334</v>
      </c>
      <c r="H41" s="41" t="s">
        <v>379</v>
      </c>
      <c r="I41" s="47" t="s">
        <v>334</v>
      </c>
      <c r="J41" s="47" t="s">
        <v>181</v>
      </c>
      <c r="K41" s="41" t="s">
        <v>59</v>
      </c>
      <c r="L41" s="41" t="s">
        <v>59</v>
      </c>
      <c r="M41" s="41" t="s">
        <v>59</v>
      </c>
      <c r="N41" s="41" t="s">
        <v>59</v>
      </c>
      <c r="O41" s="32">
        <v>1</v>
      </c>
    </row>
    <row r="42" spans="1:15" x14ac:dyDescent="0.4">
      <c r="A42" s="37">
        <v>702968</v>
      </c>
      <c r="B42" s="47" t="s">
        <v>340</v>
      </c>
      <c r="C42" s="47" t="s">
        <v>380</v>
      </c>
      <c r="D42" s="47" t="s">
        <v>91</v>
      </c>
      <c r="E42" s="47" t="s">
        <v>381</v>
      </c>
      <c r="F42" s="47" t="s">
        <v>381</v>
      </c>
      <c r="G42" s="47" t="s">
        <v>382</v>
      </c>
      <c r="H42" s="41" t="s">
        <v>383</v>
      </c>
      <c r="I42" s="47" t="s">
        <v>382</v>
      </c>
      <c r="J42" s="47" t="s">
        <v>181</v>
      </c>
      <c r="K42" s="41" t="s">
        <v>59</v>
      </c>
      <c r="L42" s="41" t="s">
        <v>59</v>
      </c>
      <c r="M42" s="41" t="s">
        <v>59</v>
      </c>
      <c r="N42" s="41" t="s">
        <v>59</v>
      </c>
      <c r="O42" s="32">
        <v>1</v>
      </c>
    </row>
    <row r="43" spans="1:15" x14ac:dyDescent="0.4">
      <c r="A43" s="37">
        <v>702969</v>
      </c>
      <c r="B43" s="47" t="s">
        <v>344</v>
      </c>
      <c r="C43" s="47" t="s">
        <v>384</v>
      </c>
      <c r="D43" s="47" t="s">
        <v>91</v>
      </c>
      <c r="E43" s="47" t="s">
        <v>385</v>
      </c>
      <c r="F43" s="47" t="s">
        <v>385</v>
      </c>
      <c r="G43" s="47" t="s">
        <v>382</v>
      </c>
      <c r="H43" s="41" t="s">
        <v>386</v>
      </c>
      <c r="I43" s="47" t="s">
        <v>382</v>
      </c>
      <c r="J43" s="47" t="s">
        <v>181</v>
      </c>
      <c r="K43" s="41" t="s">
        <v>59</v>
      </c>
      <c r="L43" s="41" t="s">
        <v>59</v>
      </c>
      <c r="M43" s="41" t="s">
        <v>59</v>
      </c>
      <c r="N43" s="41" t="s">
        <v>59</v>
      </c>
      <c r="O43" s="32">
        <v>1</v>
      </c>
    </row>
    <row r="44" spans="1:15" x14ac:dyDescent="0.4">
      <c r="A44" s="37">
        <v>702970</v>
      </c>
      <c r="B44" s="47" t="s">
        <v>348</v>
      </c>
      <c r="C44" s="47" t="s">
        <v>387</v>
      </c>
      <c r="D44" s="47" t="s">
        <v>91</v>
      </c>
      <c r="E44" s="47" t="s">
        <v>388</v>
      </c>
      <c r="F44" s="47" t="s">
        <v>388</v>
      </c>
      <c r="G44" s="47" t="s">
        <v>382</v>
      </c>
      <c r="H44" s="41" t="s">
        <v>389</v>
      </c>
      <c r="I44" s="47" t="s">
        <v>382</v>
      </c>
      <c r="J44" s="47" t="s">
        <v>181</v>
      </c>
      <c r="K44" s="41" t="s">
        <v>59</v>
      </c>
      <c r="L44" s="41" t="s">
        <v>59</v>
      </c>
      <c r="M44" s="41" t="s">
        <v>59</v>
      </c>
      <c r="N44" s="41" t="s">
        <v>59</v>
      </c>
      <c r="O44" s="32">
        <v>1</v>
      </c>
    </row>
    <row r="45" spans="1:15" x14ac:dyDescent="0.4">
      <c r="A45" s="37">
        <v>702971</v>
      </c>
      <c r="B45" s="47" t="s">
        <v>352</v>
      </c>
      <c r="C45" s="47" t="s">
        <v>390</v>
      </c>
      <c r="D45" s="47" t="s">
        <v>91</v>
      </c>
      <c r="E45" s="47" t="s">
        <v>391</v>
      </c>
      <c r="F45" s="47" t="s">
        <v>391</v>
      </c>
      <c r="G45" s="47" t="s">
        <v>382</v>
      </c>
      <c r="H45" s="41" t="s">
        <v>392</v>
      </c>
      <c r="I45" s="47" t="s">
        <v>382</v>
      </c>
      <c r="J45" s="47" t="s">
        <v>181</v>
      </c>
      <c r="K45" s="41" t="s">
        <v>59</v>
      </c>
      <c r="L45" s="41" t="s">
        <v>59</v>
      </c>
      <c r="M45" s="41" t="s">
        <v>59</v>
      </c>
      <c r="N45" s="41" t="s">
        <v>59</v>
      </c>
      <c r="O45" s="32">
        <v>1</v>
      </c>
    </row>
    <row r="46" spans="1:15" x14ac:dyDescent="0.4">
      <c r="A46" s="37">
        <v>702972</v>
      </c>
      <c r="B46" s="47" t="s">
        <v>393</v>
      </c>
      <c r="C46" s="47" t="s">
        <v>394</v>
      </c>
      <c r="D46" s="47" t="s">
        <v>91</v>
      </c>
      <c r="E46" s="47" t="s">
        <v>395</v>
      </c>
      <c r="F46" s="47" t="s">
        <v>395</v>
      </c>
      <c r="G46" s="47" t="s">
        <v>382</v>
      </c>
      <c r="H46" s="41" t="s">
        <v>396</v>
      </c>
      <c r="I46" s="47" t="s">
        <v>382</v>
      </c>
      <c r="J46" s="47" t="s">
        <v>181</v>
      </c>
      <c r="K46" s="41" t="s">
        <v>59</v>
      </c>
      <c r="L46" s="41" t="s">
        <v>59</v>
      </c>
      <c r="M46" s="41" t="s">
        <v>59</v>
      </c>
      <c r="N46" s="41" t="s">
        <v>59</v>
      </c>
      <c r="O46" s="32">
        <v>1</v>
      </c>
    </row>
    <row r="47" spans="1:15" x14ac:dyDescent="0.4">
      <c r="A47" s="37">
        <v>702973</v>
      </c>
      <c r="B47" s="47" t="s">
        <v>397</v>
      </c>
      <c r="C47" s="47" t="s">
        <v>398</v>
      </c>
      <c r="D47" s="47" t="s">
        <v>91</v>
      </c>
      <c r="E47" s="47" t="s">
        <v>399</v>
      </c>
      <c r="F47" s="47" t="s">
        <v>399</v>
      </c>
      <c r="G47" s="47" t="s">
        <v>382</v>
      </c>
      <c r="H47" s="41" t="s">
        <v>400</v>
      </c>
      <c r="I47" s="47" t="s">
        <v>382</v>
      </c>
      <c r="J47" s="47" t="s">
        <v>181</v>
      </c>
      <c r="K47" s="41" t="s">
        <v>59</v>
      </c>
      <c r="L47" s="41" t="s">
        <v>59</v>
      </c>
      <c r="M47" s="41" t="s">
        <v>59</v>
      </c>
      <c r="N47" s="41" t="s">
        <v>59</v>
      </c>
      <c r="O47" s="32">
        <v>1</v>
      </c>
    </row>
    <row r="48" spans="1:15" x14ac:dyDescent="0.4">
      <c r="A48" s="37">
        <v>702974</v>
      </c>
      <c r="B48" s="47" t="s">
        <v>401</v>
      </c>
      <c r="C48" s="47" t="s">
        <v>402</v>
      </c>
      <c r="D48" s="47" t="s">
        <v>91</v>
      </c>
      <c r="E48" s="47" t="s">
        <v>403</v>
      </c>
      <c r="F48" s="47" t="s">
        <v>403</v>
      </c>
      <c r="G48" s="47" t="s">
        <v>382</v>
      </c>
      <c r="H48" s="41" t="s">
        <v>404</v>
      </c>
      <c r="I48" s="47" t="s">
        <v>382</v>
      </c>
      <c r="J48" s="47" t="s">
        <v>181</v>
      </c>
      <c r="K48" s="41" t="s">
        <v>59</v>
      </c>
      <c r="L48" s="41" t="s">
        <v>59</v>
      </c>
      <c r="M48" s="41" t="s">
        <v>59</v>
      </c>
      <c r="N48" s="41" t="s">
        <v>59</v>
      </c>
      <c r="O48" s="32">
        <v>1</v>
      </c>
    </row>
    <row r="49" spans="1:16" x14ac:dyDescent="0.4">
      <c r="A49" s="37">
        <v>702975</v>
      </c>
      <c r="B49" s="47" t="s">
        <v>405</v>
      </c>
      <c r="C49" s="47" t="s">
        <v>406</v>
      </c>
      <c r="D49" s="47" t="s">
        <v>91</v>
      </c>
      <c r="E49" s="47" t="s">
        <v>407</v>
      </c>
      <c r="F49" s="47" t="s">
        <v>407</v>
      </c>
      <c r="G49" s="47" t="s">
        <v>382</v>
      </c>
      <c r="H49" s="41" t="s">
        <v>408</v>
      </c>
      <c r="I49" s="47" t="s">
        <v>382</v>
      </c>
      <c r="J49" s="47" t="s">
        <v>181</v>
      </c>
      <c r="K49" s="41" t="s">
        <v>59</v>
      </c>
      <c r="L49" s="41" t="s">
        <v>59</v>
      </c>
      <c r="M49" s="41" t="s">
        <v>59</v>
      </c>
      <c r="N49" s="41" t="s">
        <v>59</v>
      </c>
      <c r="O49" s="32">
        <v>1</v>
      </c>
    </row>
    <row r="50" spans="1:16" x14ac:dyDescent="0.4">
      <c r="A50" s="37">
        <v>702976</v>
      </c>
      <c r="B50" s="47" t="s">
        <v>409</v>
      </c>
      <c r="C50" s="47" t="s">
        <v>410</v>
      </c>
      <c r="D50" s="47" t="s">
        <v>91</v>
      </c>
      <c r="E50" s="47" t="s">
        <v>411</v>
      </c>
      <c r="F50" s="47" t="s">
        <v>411</v>
      </c>
      <c r="G50" s="47" t="s">
        <v>412</v>
      </c>
      <c r="H50" s="41" t="s">
        <v>413</v>
      </c>
      <c r="I50" s="47" t="s">
        <v>412</v>
      </c>
      <c r="J50" s="47" t="s">
        <v>181</v>
      </c>
      <c r="K50" s="41" t="s">
        <v>59</v>
      </c>
      <c r="L50" s="41" t="s">
        <v>59</v>
      </c>
      <c r="M50" s="41" t="s">
        <v>59</v>
      </c>
      <c r="N50" s="41" t="s">
        <v>59</v>
      </c>
      <c r="O50" s="32">
        <v>1</v>
      </c>
    </row>
    <row r="51" spans="1:16" x14ac:dyDescent="0.4">
      <c r="A51" s="37">
        <v>702977</v>
      </c>
      <c r="B51" s="47" t="s">
        <v>414</v>
      </c>
      <c r="C51" s="47" t="s">
        <v>415</v>
      </c>
      <c r="D51" s="47" t="s">
        <v>91</v>
      </c>
      <c r="E51" s="47" t="s">
        <v>416</v>
      </c>
      <c r="F51" s="47" t="s">
        <v>416</v>
      </c>
      <c r="G51" s="47" t="s">
        <v>412</v>
      </c>
      <c r="H51" s="41" t="s">
        <v>417</v>
      </c>
      <c r="I51" s="47" t="s">
        <v>412</v>
      </c>
      <c r="J51" s="47" t="s">
        <v>181</v>
      </c>
      <c r="K51" s="41" t="s">
        <v>59</v>
      </c>
      <c r="L51" s="41" t="s">
        <v>59</v>
      </c>
      <c r="M51" s="41" t="s">
        <v>59</v>
      </c>
      <c r="N51" s="41" t="s">
        <v>59</v>
      </c>
      <c r="O51" s="32">
        <v>1</v>
      </c>
    </row>
    <row r="52" spans="1:16" x14ac:dyDescent="0.4">
      <c r="A52" s="37">
        <v>702978</v>
      </c>
      <c r="B52" s="47" t="s">
        <v>299</v>
      </c>
      <c r="C52" s="47" t="s">
        <v>418</v>
      </c>
      <c r="D52" s="47" t="s">
        <v>91</v>
      </c>
      <c r="E52" s="47" t="s">
        <v>419</v>
      </c>
      <c r="F52" s="47" t="s">
        <v>419</v>
      </c>
      <c r="G52" s="47" t="s">
        <v>412</v>
      </c>
      <c r="H52" s="41" t="s">
        <v>420</v>
      </c>
      <c r="I52" s="47" t="s">
        <v>412</v>
      </c>
      <c r="J52" s="47" t="s">
        <v>181</v>
      </c>
      <c r="K52" s="41" t="s">
        <v>59</v>
      </c>
      <c r="L52" s="41" t="s">
        <v>59</v>
      </c>
      <c r="M52" s="41" t="s">
        <v>59</v>
      </c>
      <c r="N52" s="41" t="s">
        <v>59</v>
      </c>
      <c r="O52" s="32">
        <v>1</v>
      </c>
    </row>
    <row r="53" spans="1:16" x14ac:dyDescent="0.4">
      <c r="A53" s="37">
        <v>702979</v>
      </c>
      <c r="B53" s="47" t="s">
        <v>421</v>
      </c>
      <c r="C53" s="47" t="s">
        <v>422</v>
      </c>
      <c r="D53" s="47" t="s">
        <v>91</v>
      </c>
      <c r="E53" s="47" t="s">
        <v>423</v>
      </c>
      <c r="F53" s="47" t="s">
        <v>423</v>
      </c>
      <c r="G53" s="47" t="s">
        <v>412</v>
      </c>
      <c r="H53" s="41" t="s">
        <v>424</v>
      </c>
      <c r="I53" s="47" t="s">
        <v>412</v>
      </c>
      <c r="J53" s="47" t="s">
        <v>181</v>
      </c>
      <c r="K53" s="41" t="s">
        <v>59</v>
      </c>
      <c r="L53" s="41" t="s">
        <v>59</v>
      </c>
      <c r="M53" s="41" t="s">
        <v>59</v>
      </c>
      <c r="N53" s="41" t="s">
        <v>59</v>
      </c>
      <c r="O53" s="32">
        <v>1</v>
      </c>
    </row>
    <row r="54" spans="1:16" x14ac:dyDescent="0.4">
      <c r="A54" s="37">
        <v>702980</v>
      </c>
      <c r="B54" s="47" t="s">
        <v>368</v>
      </c>
      <c r="C54" s="47" t="s">
        <v>425</v>
      </c>
      <c r="D54" s="47" t="s">
        <v>91</v>
      </c>
      <c r="E54" s="47" t="s">
        <v>426</v>
      </c>
      <c r="F54" s="47" t="s">
        <v>426</v>
      </c>
      <c r="G54" s="47" t="s">
        <v>412</v>
      </c>
      <c r="H54" s="41" t="s">
        <v>427</v>
      </c>
      <c r="I54" s="47" t="s">
        <v>412</v>
      </c>
      <c r="J54" s="47" t="s">
        <v>181</v>
      </c>
      <c r="K54" s="41" t="s">
        <v>59</v>
      </c>
      <c r="L54" s="41" t="s">
        <v>59</v>
      </c>
      <c r="M54" s="41" t="s">
        <v>59</v>
      </c>
      <c r="N54" s="41" t="s">
        <v>59</v>
      </c>
      <c r="O54" s="32">
        <v>1</v>
      </c>
    </row>
    <row r="55" spans="1:16" x14ac:dyDescent="0.4">
      <c r="A55" s="37">
        <v>702981</v>
      </c>
      <c r="B55" s="47" t="s">
        <v>428</v>
      </c>
      <c r="C55" s="47" t="s">
        <v>429</v>
      </c>
      <c r="D55" s="47" t="s">
        <v>91</v>
      </c>
      <c r="E55" s="47" t="s">
        <v>430</v>
      </c>
      <c r="F55" s="47" t="s">
        <v>430</v>
      </c>
      <c r="G55" s="47" t="s">
        <v>412</v>
      </c>
      <c r="H55" s="41" t="s">
        <v>431</v>
      </c>
      <c r="I55" s="47" t="s">
        <v>412</v>
      </c>
      <c r="J55" s="47" t="s">
        <v>181</v>
      </c>
      <c r="K55" s="41" t="s">
        <v>59</v>
      </c>
      <c r="L55" s="41" t="s">
        <v>59</v>
      </c>
      <c r="M55" s="41" t="s">
        <v>59</v>
      </c>
      <c r="N55" s="41" t="s">
        <v>59</v>
      </c>
      <c r="O55" s="32">
        <v>1</v>
      </c>
    </row>
    <row r="56" spans="1:16" x14ac:dyDescent="0.4">
      <c r="A56" s="37">
        <v>702982</v>
      </c>
      <c r="B56" s="47" t="s">
        <v>432</v>
      </c>
      <c r="C56" s="47" t="s">
        <v>429</v>
      </c>
      <c r="D56" s="47" t="s">
        <v>91</v>
      </c>
      <c r="E56" s="47" t="s">
        <v>433</v>
      </c>
      <c r="F56" s="47" t="s">
        <v>433</v>
      </c>
      <c r="G56" s="47" t="s">
        <v>412</v>
      </c>
      <c r="H56" s="41" t="s">
        <v>434</v>
      </c>
      <c r="I56" s="47" t="s">
        <v>412</v>
      </c>
      <c r="J56" s="47" t="s">
        <v>181</v>
      </c>
      <c r="K56" s="41" t="s">
        <v>59</v>
      </c>
      <c r="L56" s="41" t="s">
        <v>59</v>
      </c>
      <c r="M56" s="41" t="s">
        <v>59</v>
      </c>
      <c r="N56" s="41" t="s">
        <v>59</v>
      </c>
      <c r="O56" s="32">
        <v>1</v>
      </c>
    </row>
    <row r="57" spans="1:16" x14ac:dyDescent="0.4">
      <c r="A57" s="37">
        <v>702983</v>
      </c>
      <c r="B57" s="47" t="s">
        <v>435</v>
      </c>
      <c r="C57" s="47" t="s">
        <v>436</v>
      </c>
      <c r="D57" s="47" t="s">
        <v>91</v>
      </c>
      <c r="E57" s="47" t="s">
        <v>437</v>
      </c>
      <c r="F57" s="47" t="s">
        <v>437</v>
      </c>
      <c r="G57" s="47" t="s">
        <v>412</v>
      </c>
      <c r="H57" s="41" t="s">
        <v>438</v>
      </c>
      <c r="I57" s="47" t="s">
        <v>412</v>
      </c>
      <c r="J57" s="47" t="s">
        <v>181</v>
      </c>
      <c r="K57" s="41" t="s">
        <v>59</v>
      </c>
      <c r="L57" s="41" t="s">
        <v>59</v>
      </c>
      <c r="M57" s="41" t="s">
        <v>59</v>
      </c>
      <c r="N57" s="41" t="s">
        <v>59</v>
      </c>
      <c r="O57" s="32">
        <v>1</v>
      </c>
    </row>
    <row r="58" spans="1:16" x14ac:dyDescent="0.4">
      <c r="A58" s="37">
        <v>702984</v>
      </c>
      <c r="B58" s="47" t="s">
        <v>439</v>
      </c>
      <c r="C58" s="47" t="s">
        <v>440</v>
      </c>
      <c r="D58" s="47" t="s">
        <v>91</v>
      </c>
      <c r="E58" s="47" t="s">
        <v>441</v>
      </c>
      <c r="F58" s="47" t="s">
        <v>441</v>
      </c>
      <c r="G58" s="47" t="s">
        <v>442</v>
      </c>
      <c r="H58" s="41" t="s">
        <v>443</v>
      </c>
      <c r="I58" s="47" t="s">
        <v>442</v>
      </c>
      <c r="J58" s="47" t="s">
        <v>181</v>
      </c>
      <c r="K58" s="41" t="s">
        <v>59</v>
      </c>
      <c r="L58" s="41" t="s">
        <v>59</v>
      </c>
      <c r="M58" s="41" t="s">
        <v>59</v>
      </c>
      <c r="N58" s="41" t="s">
        <v>59</v>
      </c>
      <c r="O58" s="32">
        <v>1</v>
      </c>
    </row>
    <row r="59" spans="1:16" x14ac:dyDescent="0.4">
      <c r="A59" s="37">
        <v>702985</v>
      </c>
      <c r="B59" s="47" t="s">
        <v>444</v>
      </c>
      <c r="C59" s="47" t="s">
        <v>445</v>
      </c>
      <c r="D59" s="47" t="s">
        <v>91</v>
      </c>
      <c r="E59" s="47" t="s">
        <v>446</v>
      </c>
      <c r="F59" s="47" t="s">
        <v>446</v>
      </c>
      <c r="G59" s="47" t="s">
        <v>442</v>
      </c>
      <c r="H59" s="41" t="s">
        <v>447</v>
      </c>
      <c r="I59" s="47" t="s">
        <v>442</v>
      </c>
      <c r="J59" s="47" t="s">
        <v>181</v>
      </c>
      <c r="K59" s="41" t="s">
        <v>59</v>
      </c>
      <c r="L59" s="41" t="s">
        <v>59</v>
      </c>
      <c r="M59" s="41" t="s">
        <v>59</v>
      </c>
      <c r="N59" s="41" t="s">
        <v>59</v>
      </c>
      <c r="O59" s="32">
        <v>1</v>
      </c>
    </row>
    <row r="60" spans="1:16" x14ac:dyDescent="0.4">
      <c r="A60" s="37">
        <v>702986</v>
      </c>
      <c r="B60" s="47" t="s">
        <v>448</v>
      </c>
      <c r="C60" s="47" t="s">
        <v>449</v>
      </c>
      <c r="D60" s="47" t="s">
        <v>91</v>
      </c>
      <c r="E60" s="47" t="s">
        <v>450</v>
      </c>
      <c r="F60" s="47" t="s">
        <v>450</v>
      </c>
      <c r="G60" s="47" t="s">
        <v>442</v>
      </c>
      <c r="H60" s="41" t="s">
        <v>451</v>
      </c>
      <c r="I60" s="47" t="s">
        <v>442</v>
      </c>
      <c r="J60" s="47" t="s">
        <v>181</v>
      </c>
      <c r="K60" s="41" t="s">
        <v>59</v>
      </c>
      <c r="L60" s="41" t="s">
        <v>59</v>
      </c>
      <c r="M60" s="41" t="s">
        <v>59</v>
      </c>
      <c r="N60" s="41" t="s">
        <v>59</v>
      </c>
      <c r="O60" s="32">
        <v>1</v>
      </c>
    </row>
    <row r="61" spans="1:16" x14ac:dyDescent="0.4">
      <c r="A61" s="37">
        <v>702987</v>
      </c>
      <c r="B61" s="47" t="s">
        <v>452</v>
      </c>
      <c r="C61" s="47" t="s">
        <v>453</v>
      </c>
      <c r="D61" s="47" t="s">
        <v>91</v>
      </c>
      <c r="E61" s="47" t="s">
        <v>454</v>
      </c>
      <c r="F61" s="47" t="s">
        <v>454</v>
      </c>
      <c r="G61" s="47" t="s">
        <v>442</v>
      </c>
      <c r="H61" s="41" t="s">
        <v>455</v>
      </c>
      <c r="I61" s="47" t="s">
        <v>442</v>
      </c>
      <c r="J61" s="47" t="s">
        <v>181</v>
      </c>
      <c r="K61" s="41" t="s">
        <v>59</v>
      </c>
      <c r="L61" s="41" t="s">
        <v>59</v>
      </c>
      <c r="M61" s="41" t="s">
        <v>59</v>
      </c>
      <c r="N61" s="41" t="s">
        <v>59</v>
      </c>
      <c r="O61" s="32">
        <v>1</v>
      </c>
    </row>
    <row r="62" spans="1:16" x14ac:dyDescent="0.4">
      <c r="A62" s="37">
        <v>702988</v>
      </c>
      <c r="B62" s="47" t="s">
        <v>456</v>
      </c>
      <c r="C62" s="47" t="s">
        <v>457</v>
      </c>
      <c r="D62" s="47" t="s">
        <v>91</v>
      </c>
      <c r="E62" s="47" t="s">
        <v>458</v>
      </c>
      <c r="F62" s="47" t="s">
        <v>458</v>
      </c>
      <c r="G62" s="47" t="s">
        <v>442</v>
      </c>
      <c r="H62" s="41" t="s">
        <v>459</v>
      </c>
      <c r="I62" s="47" t="s">
        <v>442</v>
      </c>
      <c r="J62" s="47" t="s">
        <v>181</v>
      </c>
      <c r="K62" s="41" t="s">
        <v>59</v>
      </c>
      <c r="L62" s="41" t="s">
        <v>59</v>
      </c>
      <c r="M62" s="41" t="s">
        <v>59</v>
      </c>
      <c r="N62" s="41" t="s">
        <v>59</v>
      </c>
      <c r="O62" s="32">
        <v>1</v>
      </c>
    </row>
    <row r="63" spans="1:16" x14ac:dyDescent="0.4">
      <c r="A63" s="37">
        <v>702989</v>
      </c>
      <c r="B63" s="47" t="s">
        <v>460</v>
      </c>
      <c r="C63" s="47" t="s">
        <v>461</v>
      </c>
      <c r="D63" s="47" t="s">
        <v>91</v>
      </c>
      <c r="E63" s="47" t="s">
        <v>462</v>
      </c>
      <c r="F63" s="47" t="s">
        <v>462</v>
      </c>
      <c r="G63" s="47" t="s">
        <v>442</v>
      </c>
      <c r="H63" s="41" t="s">
        <v>463</v>
      </c>
      <c r="I63" s="47" t="s">
        <v>442</v>
      </c>
      <c r="J63" s="47" t="s">
        <v>181</v>
      </c>
      <c r="K63" s="41" t="s">
        <v>59</v>
      </c>
      <c r="L63" s="41" t="s">
        <v>59</v>
      </c>
      <c r="M63" s="41" t="s">
        <v>59</v>
      </c>
      <c r="N63" s="41" t="s">
        <v>59</v>
      </c>
      <c r="O63" s="32">
        <v>1</v>
      </c>
    </row>
    <row r="64" spans="1:16" x14ac:dyDescent="0.4">
      <c r="A64" s="37">
        <v>707509</v>
      </c>
      <c r="B64" s="47" t="s">
        <v>464</v>
      </c>
      <c r="C64" s="47" t="s">
        <v>257</v>
      </c>
      <c r="D64" s="47" t="s">
        <v>238</v>
      </c>
      <c r="E64" s="47" t="s">
        <v>465</v>
      </c>
      <c r="F64" s="47" t="s">
        <v>465</v>
      </c>
      <c r="H64" s="41" t="s">
        <v>178</v>
      </c>
      <c r="J64" s="47" t="s">
        <v>61</v>
      </c>
      <c r="K64" s="41" t="s">
        <v>59</v>
      </c>
      <c r="L64" s="41" t="s">
        <v>59</v>
      </c>
      <c r="M64" s="41" t="s">
        <v>59</v>
      </c>
      <c r="N64" s="41" t="s">
        <v>59</v>
      </c>
      <c r="O64" s="32">
        <v>1</v>
      </c>
      <c r="P64" s="64">
        <f>(1538586981/86400)+DATE(1970,1,1)</f>
        <v>43376.719687500001</v>
      </c>
    </row>
    <row r="65" spans="1:16" x14ac:dyDescent="0.4">
      <c r="A65" s="37">
        <v>727939</v>
      </c>
      <c r="B65" s="47" t="s">
        <v>204</v>
      </c>
      <c r="C65" s="47" t="s">
        <v>205</v>
      </c>
      <c r="D65" s="47" t="s">
        <v>91</v>
      </c>
      <c r="E65" s="47" t="s">
        <v>56</v>
      </c>
      <c r="F65" s="47" t="s">
        <v>466</v>
      </c>
      <c r="H65" s="41" t="s">
        <v>206</v>
      </c>
      <c r="J65" s="47" t="s">
        <v>47</v>
      </c>
      <c r="K65" s="41" t="s">
        <v>207</v>
      </c>
      <c r="L65" s="41" t="s">
        <v>467</v>
      </c>
      <c r="M65" s="41" t="s">
        <v>468</v>
      </c>
      <c r="N65" s="41" t="s">
        <v>469</v>
      </c>
      <c r="O65" s="32">
        <v>1</v>
      </c>
      <c r="P65" s="64">
        <f>(1531327297/86400)+DATE(1970,1,1)</f>
        <v>43292.695567129631</v>
      </c>
    </row>
    <row r="66" spans="1:16" x14ac:dyDescent="0.4">
      <c r="A66" s="37">
        <v>736302</v>
      </c>
      <c r="B66" s="47" t="s">
        <v>205</v>
      </c>
      <c r="C66" s="47">
        <v>1</v>
      </c>
      <c r="D66" s="47" t="s">
        <v>215</v>
      </c>
      <c r="E66" s="47" t="s">
        <v>470</v>
      </c>
      <c r="F66" s="47" t="s">
        <v>471</v>
      </c>
      <c r="H66" s="41" t="s">
        <v>59</v>
      </c>
      <c r="J66" s="47" t="s">
        <v>61</v>
      </c>
      <c r="K66" s="41" t="s">
        <v>59</v>
      </c>
      <c r="L66" s="41" t="s">
        <v>59</v>
      </c>
      <c r="M66" s="41" t="s">
        <v>59</v>
      </c>
      <c r="N66" s="41" t="s">
        <v>59</v>
      </c>
      <c r="O66" s="32">
        <v>1</v>
      </c>
      <c r="P66" s="64">
        <f>(1532130117/86400)+DATE(1970,1,1)</f>
        <v>43301.98746527778</v>
      </c>
    </row>
    <row r="67" spans="1:16" x14ac:dyDescent="0.4">
      <c r="A67" s="37">
        <v>736303</v>
      </c>
      <c r="B67" s="47" t="s">
        <v>205</v>
      </c>
      <c r="C67" s="47">
        <v>2</v>
      </c>
      <c r="D67" s="47" t="s">
        <v>215</v>
      </c>
      <c r="E67" s="47" t="s">
        <v>470</v>
      </c>
      <c r="F67" s="47" t="s">
        <v>472</v>
      </c>
      <c r="H67" s="41" t="s">
        <v>59</v>
      </c>
      <c r="J67" s="47" t="s">
        <v>61</v>
      </c>
      <c r="K67" s="41" t="s">
        <v>59</v>
      </c>
      <c r="L67" s="41" t="s">
        <v>59</v>
      </c>
      <c r="M67" s="41" t="s">
        <v>59</v>
      </c>
      <c r="N67" s="41" t="s">
        <v>59</v>
      </c>
      <c r="O67" s="32">
        <v>1</v>
      </c>
      <c r="P67" s="64">
        <f>(1532130137/86400)+DATE(1970,1,1)</f>
        <v>43301.987696759257</v>
      </c>
    </row>
    <row r="68" spans="1:16" x14ac:dyDescent="0.4">
      <c r="A68" s="37">
        <v>737175</v>
      </c>
      <c r="B68" s="47" t="s">
        <v>473</v>
      </c>
      <c r="C68" s="47" t="s">
        <v>474</v>
      </c>
      <c r="D68" s="47" t="s">
        <v>242</v>
      </c>
      <c r="E68" s="47" t="s">
        <v>470</v>
      </c>
      <c r="F68" s="47" t="s">
        <v>475</v>
      </c>
      <c r="G68" s="47" t="s">
        <v>476</v>
      </c>
      <c r="H68" s="41" t="s">
        <v>248</v>
      </c>
      <c r="I68" s="47" t="s">
        <v>477</v>
      </c>
      <c r="J68" s="47" t="s">
        <v>61</v>
      </c>
      <c r="K68" s="41" t="s">
        <v>59</v>
      </c>
      <c r="L68" s="41" t="s">
        <v>59</v>
      </c>
      <c r="M68" s="41" t="s">
        <v>59</v>
      </c>
      <c r="N68" s="41" t="s">
        <v>59</v>
      </c>
      <c r="O68" s="32">
        <v>1</v>
      </c>
      <c r="P68" s="64">
        <f>(1532391493/86400)+DATE(1970,1,1)</f>
        <v>43305.012650462959</v>
      </c>
    </row>
    <row r="69" spans="1:16" x14ac:dyDescent="0.4">
      <c r="A69" s="37">
        <v>737176</v>
      </c>
      <c r="B69" s="47" t="s">
        <v>478</v>
      </c>
      <c r="C69" s="47" t="s">
        <v>479</v>
      </c>
      <c r="D69" s="47" t="s">
        <v>245</v>
      </c>
      <c r="E69" s="47" t="s">
        <v>470</v>
      </c>
      <c r="F69" s="47" t="s">
        <v>480</v>
      </c>
      <c r="G69" s="47" t="s">
        <v>481</v>
      </c>
      <c r="H69" s="41" t="s">
        <v>248</v>
      </c>
      <c r="I69" s="47" t="s">
        <v>482</v>
      </c>
      <c r="J69" s="47" t="s">
        <v>61</v>
      </c>
      <c r="K69" s="41" t="s">
        <v>59</v>
      </c>
      <c r="L69" s="41" t="s">
        <v>59</v>
      </c>
      <c r="M69" s="41" t="s">
        <v>59</v>
      </c>
      <c r="N69" s="41" t="s">
        <v>59</v>
      </c>
      <c r="O69" s="32">
        <v>1</v>
      </c>
      <c r="P69" s="64">
        <f>(1532392029/86400)+DATE(1970,1,1)</f>
        <v>43305.018854166672</v>
      </c>
    </row>
    <row r="70" spans="1:16" x14ac:dyDescent="0.4">
      <c r="A70" s="37">
        <v>829109</v>
      </c>
      <c r="B70" s="47" t="s">
        <v>483</v>
      </c>
      <c r="C70" s="47" t="s">
        <v>272</v>
      </c>
      <c r="D70" s="47" t="s">
        <v>215</v>
      </c>
      <c r="E70" s="47" t="s">
        <v>484</v>
      </c>
      <c r="F70" s="47" t="s">
        <v>484</v>
      </c>
      <c r="G70" s="47" t="s">
        <v>485</v>
      </c>
      <c r="H70" s="41" t="s">
        <v>252</v>
      </c>
      <c r="I70" s="47" t="s">
        <v>485</v>
      </c>
      <c r="J70" s="47" t="s">
        <v>181</v>
      </c>
      <c r="K70" s="41" t="s">
        <v>59</v>
      </c>
      <c r="L70" s="41" t="s">
        <v>59</v>
      </c>
      <c r="M70" s="41" t="s">
        <v>59</v>
      </c>
      <c r="N70" s="41" t="s">
        <v>59</v>
      </c>
      <c r="O70" s="32">
        <v>1</v>
      </c>
    </row>
    <row r="71" spans="1:16" x14ac:dyDescent="0.4">
      <c r="A71" s="37">
        <v>944326</v>
      </c>
      <c r="B71" s="47" t="s">
        <v>486</v>
      </c>
      <c r="C71" s="47" t="s">
        <v>487</v>
      </c>
      <c r="D71" s="47" t="s">
        <v>247</v>
      </c>
      <c r="E71" s="47" t="s">
        <v>488</v>
      </c>
      <c r="F71" s="47" t="s">
        <v>488</v>
      </c>
      <c r="H71" s="41" t="s">
        <v>248</v>
      </c>
      <c r="J71" s="47" t="s">
        <v>61</v>
      </c>
      <c r="K71" s="41" t="s">
        <v>59</v>
      </c>
      <c r="L71" s="41" t="s">
        <v>59</v>
      </c>
      <c r="M71" s="41" t="s">
        <v>59</v>
      </c>
      <c r="N71" s="41" t="s">
        <v>59</v>
      </c>
      <c r="O71" s="32">
        <v>1</v>
      </c>
      <c r="P71" s="64">
        <f>(1536358247/86400)+DATE(1970,1,1)</f>
        <v>43350.924155092594</v>
      </c>
    </row>
    <row r="72" spans="1:16" x14ac:dyDescent="0.4">
      <c r="A72" s="37">
        <v>956625</v>
      </c>
      <c r="B72" s="47" t="s">
        <v>489</v>
      </c>
      <c r="C72" s="47" t="s">
        <v>328</v>
      </c>
      <c r="D72" s="47" t="s">
        <v>91</v>
      </c>
      <c r="E72" s="47" t="s">
        <v>490</v>
      </c>
      <c r="F72" s="47" t="s">
        <v>490</v>
      </c>
      <c r="H72" s="41" t="s">
        <v>491</v>
      </c>
      <c r="J72" s="47" t="s">
        <v>201</v>
      </c>
      <c r="K72" s="41" t="s">
        <v>59</v>
      </c>
      <c r="L72" s="41" t="s">
        <v>59</v>
      </c>
      <c r="M72" s="41" t="s">
        <v>59</v>
      </c>
      <c r="N72" s="41" t="s">
        <v>59</v>
      </c>
      <c r="O72" s="32">
        <v>1</v>
      </c>
      <c r="P72" s="64">
        <f>(1537469165/86400)+DATE(1970,1,1)</f>
        <v>43363.782002314816</v>
      </c>
    </row>
    <row r="73" spans="1:16" x14ac:dyDescent="0.4">
      <c r="A73" s="37">
        <v>956626</v>
      </c>
      <c r="B73" s="47" t="s">
        <v>489</v>
      </c>
      <c r="C73" s="47" t="s">
        <v>328</v>
      </c>
      <c r="D73" s="47" t="s">
        <v>91</v>
      </c>
      <c r="E73" s="47" t="s">
        <v>490</v>
      </c>
      <c r="F73" s="47" t="s">
        <v>492</v>
      </c>
      <c r="H73" s="41" t="s">
        <v>491</v>
      </c>
      <c r="J73" s="47" t="s">
        <v>201</v>
      </c>
      <c r="K73" s="41" t="s">
        <v>59</v>
      </c>
      <c r="L73" s="41" t="s">
        <v>59</v>
      </c>
      <c r="M73" s="41" t="s">
        <v>59</v>
      </c>
      <c r="N73" s="41" t="s">
        <v>59</v>
      </c>
      <c r="O73" s="32">
        <v>1</v>
      </c>
    </row>
    <row r="74" spans="1:16" x14ac:dyDescent="0.4">
      <c r="A74" s="37">
        <v>956628</v>
      </c>
      <c r="B74" s="47" t="s">
        <v>489</v>
      </c>
      <c r="C74" s="47" t="s">
        <v>328</v>
      </c>
      <c r="D74" s="47" t="s">
        <v>91</v>
      </c>
      <c r="E74" s="47" t="s">
        <v>490</v>
      </c>
      <c r="F74" s="47" t="s">
        <v>493</v>
      </c>
      <c r="H74" s="41" t="s">
        <v>491</v>
      </c>
      <c r="J74" s="47" t="s">
        <v>201</v>
      </c>
      <c r="K74" s="41" t="s">
        <v>59</v>
      </c>
      <c r="L74" s="41" t="s">
        <v>59</v>
      </c>
      <c r="M74" s="41" t="s">
        <v>59</v>
      </c>
      <c r="N74" s="41" t="s">
        <v>59</v>
      </c>
      <c r="O74" s="32">
        <v>1</v>
      </c>
    </row>
    <row r="75" spans="1:16" x14ac:dyDescent="0.4">
      <c r="A75" s="37">
        <v>956629</v>
      </c>
      <c r="B75" s="47" t="s">
        <v>489</v>
      </c>
      <c r="C75" s="47" t="s">
        <v>328</v>
      </c>
      <c r="D75" s="47" t="s">
        <v>91</v>
      </c>
      <c r="E75" s="47" t="s">
        <v>490</v>
      </c>
      <c r="F75" s="47" t="s">
        <v>494</v>
      </c>
      <c r="H75" s="41" t="s">
        <v>491</v>
      </c>
      <c r="J75" s="47" t="s">
        <v>201</v>
      </c>
      <c r="K75" s="41" t="s">
        <v>59</v>
      </c>
      <c r="L75" s="41" t="s">
        <v>59</v>
      </c>
      <c r="M75" s="41" t="s">
        <v>59</v>
      </c>
      <c r="N75" s="41" t="s">
        <v>59</v>
      </c>
      <c r="O75" s="32">
        <v>1</v>
      </c>
    </row>
    <row r="76" spans="1:16" x14ac:dyDescent="0.4">
      <c r="A76" s="37">
        <v>964150</v>
      </c>
      <c r="B76" s="47" t="s">
        <v>489</v>
      </c>
      <c r="C76" s="47" t="s">
        <v>280</v>
      </c>
      <c r="D76" s="47" t="s">
        <v>91</v>
      </c>
      <c r="E76" s="47" t="s">
        <v>56</v>
      </c>
      <c r="F76" s="47" t="s">
        <v>495</v>
      </c>
      <c r="H76" s="41" t="s">
        <v>496</v>
      </c>
      <c r="J76" s="47" t="s">
        <v>201</v>
      </c>
      <c r="K76" s="41" t="s">
        <v>59</v>
      </c>
      <c r="L76" s="41" t="s">
        <v>59</v>
      </c>
      <c r="M76" s="41" t="s">
        <v>59</v>
      </c>
      <c r="N76" s="41" t="s">
        <v>59</v>
      </c>
      <c r="O76" s="32">
        <v>1</v>
      </c>
    </row>
    <row r="77" spans="1:16" x14ac:dyDescent="0.4">
      <c r="A77" s="37">
        <v>969838</v>
      </c>
      <c r="B77" s="47" t="s">
        <v>497</v>
      </c>
      <c r="C77" s="47" t="s">
        <v>498</v>
      </c>
      <c r="D77" s="47" t="s">
        <v>251</v>
      </c>
      <c r="E77" s="47" t="s">
        <v>499</v>
      </c>
      <c r="F77" s="47" t="s">
        <v>500</v>
      </c>
      <c r="G77" s="47" t="s">
        <v>501</v>
      </c>
      <c r="H77" s="41" t="s">
        <v>252</v>
      </c>
      <c r="I77" s="47" t="s">
        <v>270</v>
      </c>
      <c r="J77" s="47" t="s">
        <v>61</v>
      </c>
      <c r="K77" s="41" t="s">
        <v>59</v>
      </c>
      <c r="L77" s="41" t="s">
        <v>59</v>
      </c>
      <c r="M77" s="41" t="s">
        <v>59</v>
      </c>
      <c r="N77" s="41" t="s">
        <v>59</v>
      </c>
      <c r="O77" s="32">
        <v>1</v>
      </c>
      <c r="P77" s="64">
        <f>(1538507596/86400)+DATE(1970,1,1)</f>
        <v>43375.800879629634</v>
      </c>
    </row>
    <row r="78" spans="1:16" x14ac:dyDescent="0.4">
      <c r="A78" s="37">
        <v>970666</v>
      </c>
      <c r="B78" s="47" t="s">
        <v>502</v>
      </c>
      <c r="C78" s="47" t="s">
        <v>503</v>
      </c>
      <c r="D78" s="47" t="s">
        <v>91</v>
      </c>
      <c r="E78" s="47" t="s">
        <v>490</v>
      </c>
      <c r="F78" s="47" t="s">
        <v>504</v>
      </c>
      <c r="H78" s="41" t="s">
        <v>505</v>
      </c>
      <c r="J78" s="47" t="s">
        <v>201</v>
      </c>
      <c r="K78" s="41" t="s">
        <v>59</v>
      </c>
      <c r="L78" s="41" t="s">
        <v>59</v>
      </c>
      <c r="M78" s="41" t="s">
        <v>59</v>
      </c>
      <c r="N78" s="41" t="s">
        <v>59</v>
      </c>
      <c r="O78" s="32">
        <v>1</v>
      </c>
    </row>
    <row r="79" spans="1:16" x14ac:dyDescent="0.4">
      <c r="A79" s="37">
        <v>970669</v>
      </c>
      <c r="B79" s="47" t="s">
        <v>506</v>
      </c>
      <c r="C79" s="47" t="s">
        <v>503</v>
      </c>
      <c r="D79" s="47" t="s">
        <v>91</v>
      </c>
      <c r="E79" s="47" t="s">
        <v>56</v>
      </c>
      <c r="F79" s="47" t="s">
        <v>507</v>
      </c>
      <c r="H79" s="41" t="s">
        <v>505</v>
      </c>
      <c r="J79" s="47" t="s">
        <v>201</v>
      </c>
      <c r="K79" s="41" t="s">
        <v>59</v>
      </c>
      <c r="L79" s="41" t="s">
        <v>59</v>
      </c>
      <c r="M79" s="41" t="s">
        <v>59</v>
      </c>
      <c r="N79" s="41" t="s">
        <v>59</v>
      </c>
      <c r="O79" s="32">
        <v>1</v>
      </c>
    </row>
    <row r="144" spans="4:4" x14ac:dyDescent="0.4">
      <c r="D144" s="48"/>
    </row>
  </sheetData>
  <protectedRanges>
    <protectedRange sqref="B2:O1048576" name="UserEdits_1" securityDescriptor="O:WDG:WDD:(A;;CC;;;WD)"/>
  </protectedRanges>
  <sortState ref="A2:P145">
    <sortCondition ref="A1"/>
  </sortState>
  <conditionalFormatting sqref="A1:O1048576">
    <cfRule type="expression" dxfId="6" priority="1">
      <formula>A1&lt;&gt;A1</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2" id="{C3A1D4D7-410E-46AF-A53A-5F470D6F8589}">
            <xm:f>MATCH(E2,MatchMe!$H:$H,0)</xm:f>
            <x14:dxf>
              <fill>
                <patternFill>
                  <bgColor rgb="FF92D050"/>
                </patternFill>
              </fill>
            </x14:dxf>
          </x14:cfRule>
          <xm:sqref>E2:E1048576</xm:sqref>
        </x14:conditionalFormatting>
        <x14:conditionalFormatting xmlns:xm="http://schemas.microsoft.com/office/excel/2006/main">
          <x14:cfRule type="expression" priority="3" id="{C40F8533-21A6-420A-9626-4C26144FA7A1}">
            <xm:f>MATCH(F2,MatchMe!$G:$G,0)</xm:f>
            <x14:dxf>
              <fill>
                <patternFill>
                  <bgColor rgb="FF92D050"/>
                </patternFill>
              </fill>
            </x14:dxf>
          </x14:cfRule>
          <xm:sqref>F2:F1048576</xm:sqref>
        </x14:conditionalFormatting>
        <x14:conditionalFormatting xmlns:xm="http://schemas.microsoft.com/office/excel/2006/main">
          <x14:cfRule type="expression" priority="4" id="{51BBF9E7-52B9-4547-8B0F-A44A9970C184}">
            <xm:f>MATCH(K2,MatchMe!$I:$I,0)</xm:f>
            <x14:dxf>
              <fill>
                <patternFill>
                  <bgColor rgb="FF92D050"/>
                </patternFill>
              </fill>
            </x14:dxf>
          </x14:cfRule>
          <xm:sqref>K2:K1048576</xm:sqref>
        </x14:conditionalFormatting>
        <x14:conditionalFormatting xmlns:xm="http://schemas.microsoft.com/office/excel/2006/main">
          <x14:cfRule type="expression" priority="5" id="{797DB713-6B94-45A8-98CE-ECFC0F8BCAAA}">
            <xm:f>MATCH(L2,MatchMe!$J:$J,0)</xm:f>
            <x14:dxf>
              <fill>
                <patternFill>
                  <bgColor rgb="FF92D050"/>
                </patternFill>
              </fill>
            </x14:dxf>
          </x14:cfRule>
          <xm:sqref>L2:L1048576</xm:sqref>
        </x14:conditionalFormatting>
        <x14:conditionalFormatting xmlns:xm="http://schemas.microsoft.com/office/excel/2006/main">
          <x14:cfRule type="expression" priority="6" id="{3989A0DA-D1D9-4600-A34D-FACEBA8FB459}">
            <xm:f>MATCH(M2,MatchMe!$K:$K,0)</xm:f>
            <x14:dxf>
              <fill>
                <patternFill>
                  <bgColor rgb="FF92D050"/>
                </patternFill>
              </fill>
            </x14:dxf>
          </x14:cfRule>
          <xm:sqref>M2:M1048576</xm:sqref>
        </x14:conditionalFormatting>
        <x14:conditionalFormatting xmlns:xm="http://schemas.microsoft.com/office/excel/2006/main">
          <x14:cfRule type="expression" priority="7" id="{F40B944F-F80B-434D-A6A7-11DB1B569B1C}">
            <xm:f>MATCH(N2,MatchMe!$L:$L,0)</xm:f>
            <x14:dxf>
              <fill>
                <patternFill>
                  <bgColor rgb="FF92D050"/>
                </patternFill>
              </fill>
            </x14:dxf>
          </x14:cfRule>
          <xm:sqref>N2:N1048576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B6F578C7-E6B1-4A1D-AAED-7F37512B3C4E}">
          <x14:formula1>
            <xm:f>Settings!$D$2:$D$3</xm:f>
          </x14:formula1>
          <xm:sqref>O2:O1048576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38BDFC1-E9B0-4F70-AD66-2CAFFD7CEF7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Start</vt:lpstr>
      <vt:lpstr>Stats</vt:lpstr>
      <vt:lpstr>Configurations</vt:lpstr>
      <vt:lpstr>Companies</vt:lpstr>
      <vt:lpstr>Users</vt:lpstr>
      <vt:lpstr>Issues</vt:lpstr>
      <vt:lpstr>MatchMe</vt:lpstr>
      <vt:lpstr>Boolean</vt:lpstr>
      <vt:lpstr>Companies</vt:lpstr>
      <vt:lpstr>Issues</vt:lpstr>
      <vt:lpstr>SKUs</vt:lpstr>
      <vt:lpstr>Users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Robin R. Smith-Gilbert</dc:creator>
  <cp:lastModifiedBy>Robin R. Smith-Gilbert</cp:lastModifiedBy>
  <cp:lastPrinted>2015-11-16T17:41:36Z</cp:lastPrinted>
  <dcterms:created xsi:type="dcterms:W3CDTF">2015-10-08T14:37:16Z</dcterms:created>
  <dcterms:modified xsi:type="dcterms:W3CDTF">2018-10-03T21:21:02Z</dcterms:modified>
</cp:coreProperties>
</file>